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CC\Excel\"/>
    </mc:Choice>
  </mc:AlternateContent>
  <xr:revisionPtr revIDLastSave="0" documentId="13_ncr:1_{F53DBB89-8C1C-474A-BDC1-3A6335D8C92B}" xr6:coauthVersionLast="47" xr6:coauthVersionMax="47" xr10:uidLastSave="{00000000-0000-0000-0000-000000000000}"/>
  <bookViews>
    <workbookView xWindow="-108" yWindow="-108" windowWidth="23256" windowHeight="12456" activeTab="1" xr2:uid="{C38A69EE-5DDB-4651-942C-4C3BF4108C2C}"/>
  </bookViews>
  <sheets>
    <sheet name="Logic and IF" sheetId="6" r:id="rId1"/>
    <sheet name="EX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6" l="1"/>
  <c r="F27" i="6"/>
  <c r="F28" i="6"/>
  <c r="F29" i="6"/>
  <c r="F30" i="6"/>
  <c r="F31" i="6"/>
  <c r="F32" i="6"/>
  <c r="F33" i="6"/>
  <c r="F175" i="6"/>
  <c r="E258" i="6"/>
  <c r="F239" i="6"/>
  <c r="F217" i="6"/>
  <c r="F197" i="6"/>
</calcChain>
</file>

<file path=xl/sharedStrings.xml><?xml version="1.0" encoding="utf-8"?>
<sst xmlns="http://schemas.openxmlformats.org/spreadsheetml/2006/main" count="454" uniqueCount="208">
  <si>
    <t>Due Date</t>
  </si>
  <si>
    <t>Customer</t>
  </si>
  <si>
    <t>Bill Amount</t>
  </si>
  <si>
    <t>Paid Amount</t>
  </si>
  <si>
    <t>Due Amount</t>
  </si>
  <si>
    <t>Status</t>
  </si>
  <si>
    <t>Student Name</t>
  </si>
  <si>
    <t>Maths</t>
  </si>
  <si>
    <t>Science</t>
  </si>
  <si>
    <t>English</t>
  </si>
  <si>
    <t>Total</t>
  </si>
  <si>
    <t>Result</t>
  </si>
  <si>
    <t>Ravi</t>
  </si>
  <si>
    <t>Meena</t>
  </si>
  <si>
    <t>Kiran</t>
  </si>
  <si>
    <t>Priya</t>
  </si>
  <si>
    <t>Attendance</t>
  </si>
  <si>
    <t>Yes</t>
  </si>
  <si>
    <t>No</t>
  </si>
  <si>
    <t>Arjun</t>
  </si>
  <si>
    <t>Scenario 1 - Pass or Fail</t>
  </si>
  <si>
    <t>Student</t>
  </si>
  <si>
    <t>Attendance %</t>
  </si>
  <si>
    <t>Rahul</t>
  </si>
  <si>
    <t>Sneha</t>
  </si>
  <si>
    <t>Anjali</t>
  </si>
  <si>
    <t>Vijay</t>
  </si>
  <si>
    <t>Scenario 2 — Can the student get a certificate?</t>
  </si>
  <si>
    <t>If Maths marks are 70 or more, display "Certificate". Otherwise display "No Certificate".</t>
  </si>
  <si>
    <t>Certificate</t>
  </si>
  <si>
    <t>Scenario 3 - School Library Fine</t>
  </si>
  <si>
    <t>If a student returns a book more than 3 days late, display "Fine Required". Otherwise display "No Fine".</t>
  </si>
  <si>
    <t>Days Late</t>
  </si>
  <si>
    <t>Scenario 4 — Can I Play in the Match?</t>
  </si>
  <si>
    <t>A student can play in the school cricket match if:
Attendance is 75% or more AND sports permission is "Yes".</t>
  </si>
  <si>
    <t>Permission</t>
  </si>
  <si>
    <t>Scenario:
The teacher wants to check:
Can the student go on the school trip?
A student can go only when:
Permission = Yes
Fees Paid = Yes
Both conditions must be true.</t>
  </si>
  <si>
    <t>Fees Paid</t>
  </si>
  <si>
    <t>AND Result</t>
  </si>
  <si>
    <t>Scenario
The school selects students for a Science &amp; Maths competition if:
Maths marks are 90 or more OR Science marks are 90 or more.
Only one condition needs to be true.</t>
  </si>
  <si>
    <t>OR Result</t>
  </si>
  <si>
    <t>Scenario
The teacher wants to check:
Is the book NOT returned?
If the student has returned the book, the answer should be FALSE.
If the student has NOT returned it, the answer should be TRUE.</t>
  </si>
  <si>
    <t>Book Returned</t>
  </si>
  <si>
    <t>NOT Result</t>
  </si>
  <si>
    <t>Scenario
A student is eligible for the final exam if:
Attendance is 75% or more
AND
Assignment is submitted</t>
  </si>
  <si>
    <t>Assignment</t>
  </si>
  <si>
    <t>Scenario
A student can attend the school trip if:
Permission = Yes
AND
Fees Paid = Yes</t>
  </si>
  <si>
    <t>Scenario
A student is selected for a competition if:
Maths marks are 90 or more
OR
Science marks are 90 or more</t>
  </si>
  <si>
    <t>Scenario
A student can take a holiday if:
Parent Permission = Yes
OR
Principal Permission = Yes</t>
  </si>
  <si>
    <t>Parent Permission</t>
  </si>
  <si>
    <t>Principal Permission</t>
  </si>
  <si>
    <t>Scenario
The teacher wants to check whether a student has NOT returned a library book.</t>
  </si>
  <si>
    <t>5. AND Function — School Trip</t>
  </si>
  <si>
    <t>6. OR Function — School Competition</t>
  </si>
  <si>
    <t>7. NOT Function — Library Book</t>
  </si>
  <si>
    <t>8. IF + AND — Exam Eligibility</t>
  </si>
  <si>
    <t>9. IF + AND — School Trip</t>
  </si>
  <si>
    <t>10. IF + OR — Competition Selection</t>
  </si>
  <si>
    <t>11. IF + OR — Holiday Permission</t>
  </si>
  <si>
    <t>12. IF + NOT — Library Book</t>
  </si>
  <si>
    <t>Comparative Operators – Two Columns</t>
  </si>
  <si>
    <t>Maths (A)</t>
  </si>
  <si>
    <t>Science (B)</t>
  </si>
  <si>
    <t>Comparison</t>
  </si>
  <si>
    <t>Equal to</t>
  </si>
  <si>
    <t>Not equal to</t>
  </si>
  <si>
    <t>Greater than</t>
  </si>
  <si>
    <t>Less than</t>
  </si>
  <si>
    <t>Greater than or equal to</t>
  </si>
  <si>
    <t>Less than or equal to</t>
  </si>
  <si>
    <t>If Total marks are 150 or more, the student has Passed. Otherwise, the student has Failed.</t>
  </si>
  <si>
    <t>Scenario 1: Student Exam Result</t>
  </si>
  <si>
    <t>Student ID</t>
  </si>
  <si>
    <t>Average</t>
  </si>
  <si>
    <t>S001</t>
  </si>
  <si>
    <t>S002</t>
  </si>
  <si>
    <t>S003</t>
  </si>
  <si>
    <t>Amit</t>
  </si>
  <si>
    <t>S004</t>
  </si>
  <si>
    <t>S005</t>
  </si>
  <si>
    <t>S006</t>
  </si>
  <si>
    <t>Anu</t>
  </si>
  <si>
    <t>S007</t>
  </si>
  <si>
    <t>S008</t>
  </si>
  <si>
    <t>Divya</t>
  </si>
  <si>
    <t>Pass if Average is 40 or above:</t>
  </si>
  <si>
    <t>Scenario 2: Employee Performance Bonus</t>
  </si>
  <si>
    <t>Emp ID</t>
  </si>
  <si>
    <t>Employee</t>
  </si>
  <si>
    <t>Jan Sales</t>
  </si>
  <si>
    <t>Feb Sales</t>
  </si>
  <si>
    <t>Mar Sales</t>
  </si>
  <si>
    <t>Total Sales</t>
  </si>
  <si>
    <t>Average Sales</t>
  </si>
  <si>
    <t>Bonus Status</t>
  </si>
  <si>
    <t>E001</t>
  </si>
  <si>
    <t>E002</t>
  </si>
  <si>
    <t>E003</t>
  </si>
  <si>
    <t>E004</t>
  </si>
  <si>
    <t>Neha</t>
  </si>
  <si>
    <t>E005</t>
  </si>
  <si>
    <t>E006</t>
  </si>
  <si>
    <t>Employee gets a bonus if Average Sales ≥ ₹45,000.</t>
  </si>
  <si>
    <t>Scenario 3: Product Sales Target</t>
  </si>
  <si>
    <t>Product</t>
  </si>
  <si>
    <t>Week 1</t>
  </si>
  <si>
    <t>Week 2</t>
  </si>
  <si>
    <t>Week 3</t>
  </si>
  <si>
    <t>Week 4</t>
  </si>
  <si>
    <t>Target Status</t>
  </si>
  <si>
    <t>Face Pack</t>
  </si>
  <si>
    <t>Soap</t>
  </si>
  <si>
    <t>Shampoo</t>
  </si>
  <si>
    <t>Face Wash</t>
  </si>
  <si>
    <t>Body Lotion</t>
  </si>
  <si>
    <t>Scrub</t>
  </si>
  <si>
    <t>Target is achieved when Average Sales ≥ 140.</t>
  </si>
  <si>
    <t>Working Days</t>
  </si>
  <si>
    <t>Present Days</t>
  </si>
  <si>
    <t>Basic Salary</t>
  </si>
  <si>
    <t>Paid Date</t>
  </si>
  <si>
    <t>Penalty</t>
  </si>
  <si>
    <t>Final Due</t>
  </si>
  <si>
    <r>
      <t xml:space="preserve">If there is a due amount, charge </t>
    </r>
    <r>
      <rPr>
        <b/>
        <sz val="11"/>
        <color theme="1"/>
        <rFont val="Calibri"/>
        <family val="2"/>
        <scheme val="minor"/>
      </rPr>
      <t>5% penalty</t>
    </r>
  </si>
  <si>
    <t>Monthly Salary</t>
  </si>
  <si>
    <t>Absent Days</t>
  </si>
  <si>
    <t>Deduction</t>
  </si>
  <si>
    <t>Final Salary</t>
  </si>
  <si>
    <t>If absent days are more than 2:</t>
  </si>
  <si>
    <t>Deduct ₹500 for every absent day above 2</t>
  </si>
  <si>
    <t>Category</t>
  </si>
  <si>
    <t>Quantity</t>
  </si>
  <si>
    <t>Price/Unit</t>
  </si>
  <si>
    <t>Taxable Amount</t>
  </si>
  <si>
    <t>GST Rate</t>
  </si>
  <si>
    <t>GST Amount</t>
  </si>
  <si>
    <t>Final Amount</t>
  </si>
  <si>
    <t>Personal Care</t>
  </si>
  <si>
    <t>Notebook</t>
  </si>
  <si>
    <t>Stationery</t>
  </si>
  <si>
    <t>Pen</t>
  </si>
  <si>
    <t>Cosmetics</t>
  </si>
  <si>
    <t>Bag</t>
  </si>
  <si>
    <t>Accessories</t>
  </si>
  <si>
    <t>Cream</t>
  </si>
  <si>
    <t>Bottle</t>
  </si>
  <si>
    <t>GST rules for practice</t>
  </si>
  <si>
    <t>GST</t>
  </si>
  <si>
    <r>
      <t xml:space="preserve">A company deducts </t>
    </r>
    <r>
      <rPr>
        <b/>
        <sz val="11"/>
        <color theme="1"/>
        <rFont val="Calibri"/>
        <family val="2"/>
        <scheme val="minor"/>
      </rPr>
      <t>12% PF from Basic Salary</t>
    </r>
    <r>
      <rPr>
        <sz val="11"/>
        <color theme="1"/>
        <rFont val="Calibri"/>
        <family val="2"/>
        <scheme val="minor"/>
      </rPr>
      <t xml:space="preserve"> when the employee is eligible for PF.</t>
    </r>
  </si>
  <si>
    <t>PF Eligible?</t>
  </si>
  <si>
    <t>Employee PF</t>
  </si>
  <si>
    <t>Net Salary</t>
  </si>
  <si>
    <t>PF Wage</t>
  </si>
  <si>
    <t>PF Rate</t>
  </si>
  <si>
    <t>Below ₹15,000</t>
  </si>
  <si>
    <t>₹15,000–₹25,000</t>
  </si>
  <si>
    <t>Above ₹25,000</t>
  </si>
  <si>
    <t>PF Amount</t>
  </si>
  <si>
    <t>Scenario 4: Customer Payment &amp; Late Payment Penalty</t>
  </si>
  <si>
    <t>Scenario 5: Employee Attendance &amp; Salary Deduction</t>
  </si>
  <si>
    <t>Scenario 6: GST Based on Product Category</t>
  </si>
  <si>
    <t>Scenario 7: Basic PF Calculation</t>
  </si>
  <si>
    <t>Scenario 8: PF Based on Salary Slab</t>
  </si>
  <si>
    <t>Player</t>
  </si>
  <si>
    <t>Match 1 Runs</t>
  </si>
  <si>
    <t>Match 2 Runs</t>
  </si>
  <si>
    <t>Match 3 Runs</t>
  </si>
  <si>
    <t>Total Runs</t>
  </si>
  <si>
    <t>Average Runs</t>
  </si>
  <si>
    <t>Performance</t>
  </si>
  <si>
    <t>Bonus</t>
  </si>
  <si>
    <t>Final Score</t>
  </si>
  <si>
    <t>Rohit</t>
  </si>
  <si>
    <t>Virat</t>
  </si>
  <si>
    <t>Anil</t>
  </si>
  <si>
    <t>Suresh</t>
  </si>
  <si>
    <t>Excellent</t>
  </si>
  <si>
    <t>60–79</t>
  </si>
  <si>
    <t>Good</t>
  </si>
  <si>
    <t>40–59</t>
  </si>
  <si>
    <t>Below 40</t>
  </si>
  <si>
    <t>Poor</t>
  </si>
  <si>
    <t>Step</t>
  </si>
  <si>
    <t>Command / Task</t>
  </si>
  <si>
    <r>
      <t>Calculate the Total Runs</t>
    </r>
    <r>
      <rPr>
        <sz val="11"/>
        <color theme="1"/>
        <rFont val="Calibri"/>
        <family val="2"/>
        <scheme val="minor"/>
      </rPr>
      <t xml:space="preserve"> scored by the player in 3 matches.</t>
    </r>
  </si>
  <si>
    <r>
      <t>Calculate the Average Runs</t>
    </r>
    <r>
      <rPr>
        <sz val="11"/>
        <color theme="1"/>
        <rFont val="Calibri"/>
        <family val="2"/>
        <scheme val="minor"/>
      </rPr>
      <t xml:space="preserve"> scored per match.</t>
    </r>
  </si>
  <si>
    <r>
      <t>Find the Performance</t>
    </r>
    <r>
      <rPr>
        <sz val="11"/>
        <color theme="1"/>
        <rFont val="Calibri"/>
        <family val="2"/>
        <scheme val="minor"/>
      </rPr>
      <t xml:space="preserve"> based on the average runs: Excellent, Good, Average, or Poor.</t>
    </r>
  </si>
  <si>
    <r>
      <t>Calculate the Bonus</t>
    </r>
    <r>
      <rPr>
        <sz val="11"/>
        <color theme="1"/>
        <rFont val="Calibri"/>
        <family val="2"/>
        <scheme val="minor"/>
      </rPr>
      <t xml:space="preserve"> based on the player's performance.</t>
    </r>
  </si>
  <si>
    <r>
      <t>Calculate the Final Score</t>
    </r>
    <r>
      <rPr>
        <sz val="11"/>
        <color theme="1"/>
        <rFont val="Calibri"/>
        <family val="2"/>
        <scheme val="minor"/>
      </rPr>
      <t xml:space="preserve"> by adding Total Runs and Bonus.</t>
    </r>
  </si>
  <si>
    <t>80+</t>
  </si>
  <si>
    <t>IFS(B2&lt;15000,10%,B2&lt;=25000,12%,B2&gt;25000,15%)</t>
  </si>
  <si>
    <t>B2*C2</t>
  </si>
  <si>
    <t>B2-D2</t>
  </si>
  <si>
    <t>Step 1</t>
  </si>
  <si>
    <t>Step 2</t>
  </si>
  <si>
    <t>Scenario 9: Cricket Player Performance Analysis</t>
  </si>
  <si>
    <t>IF(C2="Yes",B2*12%,0)</t>
  </si>
  <si>
    <t>IF(C2="Yes","Eligible","Not Eligible")</t>
  </si>
  <si>
    <t>Task</t>
  </si>
  <si>
    <t>Command / Formula</t>
  </si>
  <si>
    <t>PF Eligibility</t>
  </si>
  <si>
    <t>Step 3</t>
  </si>
  <si>
    <t>Logical Concept</t>
  </si>
  <si>
    <t>Calculate PF Rate</t>
  </si>
  <si>
    <t>Calculate PF Amount</t>
  </si>
  <si>
    <t>Calculate Net Salary</t>
  </si>
  <si>
    <t>Step 4</t>
  </si>
  <si>
    <t>IFS – Multiple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</si>
</sst>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4"/>
      <color theme="1"/>
      <name val="Times New Roman"/>
      <family val="1"/>
    </font>
    <font>
      <sz val="10"/>
      <color theme="1"/>
      <name val="Arial Unicode MS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1">
      <alignment wrapText="1"/>
    </xf>
  </cellStyleXfs>
  <cellXfs count="83">
    <xf numFmtId="0" fontId="0" fillId="0" borderId="0" xfId="0"/>
    <xf numFmtId="0" fontId="4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right" vertical="center" wrapText="1"/>
    </xf>
    <xf numFmtId="0" fontId="8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right" vertical="center" wrapText="1"/>
    </xf>
    <xf numFmtId="0" fontId="9" fillId="0" borderId="1" xfId="0" applyFont="1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  <xf numFmtId="0" fontId="1" fillId="0" borderId="0" xfId="0" applyFont="1"/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right" vertical="center" wrapText="1"/>
    </xf>
    <xf numFmtId="14" fontId="0" fillId="0" borderId="1" xfId="0" applyNumberFormat="1" applyBorder="1" applyAlignment="1">
      <alignment horizontal="right" vertical="center" wrapText="1"/>
    </xf>
    <xf numFmtId="0" fontId="0" fillId="0" borderId="1" xfId="0" applyBorder="1"/>
    <xf numFmtId="9" fontId="0" fillId="0" borderId="1" xfId="0" applyNumberForma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1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right" vertical="center" wrapText="1"/>
    </xf>
    <xf numFmtId="9" fontId="0" fillId="0" borderId="1" xfId="0" applyNumberFormat="1" applyBorder="1" applyAlignment="1">
      <alignment horizontal="right" vertical="center" wrapText="1"/>
    </xf>
    <xf numFmtId="0" fontId="1" fillId="0" borderId="1" xfId="0" applyFont="1" applyBorder="1" applyAlignment="1">
      <alignment horizontal="left" vertical="center" wrapText="1"/>
    </xf>
    <xf numFmtId="0" fontId="5" fillId="3" borderId="7" xfId="0" applyFont="1" applyFill="1" applyBorder="1" applyAlignment="1">
      <alignment horizontal="center" wrapText="1"/>
    </xf>
    <xf numFmtId="0" fontId="5" fillId="3" borderId="8" xfId="0" applyFont="1" applyFill="1" applyBorder="1" applyAlignment="1">
      <alignment horizontal="center" wrapText="1"/>
    </xf>
    <xf numFmtId="0" fontId="5" fillId="3" borderId="9" xfId="0" applyFont="1" applyFill="1" applyBorder="1" applyAlignment="1">
      <alignment horizontal="center" wrapText="1"/>
    </xf>
    <xf numFmtId="0" fontId="5" fillId="3" borderId="10" xfId="0" applyFont="1" applyFill="1" applyBorder="1" applyAlignment="1">
      <alignment horizontal="center" wrapText="1"/>
    </xf>
    <xf numFmtId="0" fontId="5" fillId="3" borderId="11" xfId="0" applyFont="1" applyFill="1" applyBorder="1" applyAlignment="1">
      <alignment horizontal="center" wrapText="1"/>
    </xf>
    <xf numFmtId="0" fontId="5" fillId="3" borderId="12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0" xfId="0" applyFont="1" applyFill="1" applyAlignment="1">
      <alignment horizontal="center" wrapText="1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6" fillId="5" borderId="0" xfId="0" applyFont="1" applyFill="1" applyAlignment="1">
      <alignment horizontal="left" vertical="center" wrapText="1"/>
    </xf>
    <xf numFmtId="0" fontId="0" fillId="0" borderId="0" xfId="0"/>
    <xf numFmtId="0" fontId="1" fillId="7" borderId="1" xfId="0" applyFont="1" applyFill="1" applyBorder="1" applyAlignment="1">
      <alignment horizontal="left"/>
    </xf>
    <xf numFmtId="0" fontId="11" fillId="6" borderId="13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" fillId="7" borderId="13" xfId="0" applyFont="1" applyFill="1" applyBorder="1" applyAlignment="1">
      <alignment horizontal="left"/>
    </xf>
    <xf numFmtId="0" fontId="1" fillId="7" borderId="0" xfId="0" applyFont="1" applyFill="1" applyAlignment="1">
      <alignment horizontal="left"/>
    </xf>
    <xf numFmtId="0" fontId="8" fillId="6" borderId="13" xfId="0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1" fillId="7" borderId="13" xfId="0" applyFont="1" applyFill="1" applyBorder="1" applyAlignment="1">
      <alignment horizontal="left" wrapText="1"/>
    </xf>
    <xf numFmtId="0" fontId="1" fillId="7" borderId="0" xfId="0" applyFont="1" applyFill="1" applyAlignment="1">
      <alignment horizontal="left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2">
    <cellStyle name="DarkBlue" xfId="1" xr:uid="{E809B958-A754-45FE-AE41-82CCD61F8736}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2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8D56DE3-0E05-447E-AFC3-29D6042B103B}" name="Table7" displayName="Table7" ref="B25:H33" totalsRowShown="0" headerRowDxfId="11" dataDxfId="9" headerRowBorderDxfId="10" tableBorderDxfId="8" totalsRowBorderDxfId="7">
  <tableColumns count="7">
    <tableColumn id="1" xr3:uid="{7610BADF-7A20-40CE-9EBC-9EF4E0684DF9}" name="Student" dataDxfId="6"/>
    <tableColumn id="2" xr3:uid="{9B239F18-2E35-4FC9-958A-6ADC590A8718}" name="English" dataDxfId="5"/>
    <tableColumn id="3" xr3:uid="{D8E77630-283F-463C-8217-008FB12C9C07}" name="Maths" dataDxfId="4"/>
    <tableColumn id="4" xr3:uid="{003241AD-812C-4E09-9682-1171373F8E97}" name="Science" dataDxfId="3"/>
    <tableColumn id="5" xr3:uid="{14BB78B2-14A3-4923-B4BE-058BCF372A10}" name="Total" dataDxfId="2">
      <calculatedColumnFormula>SUM(Table7[[#This Row],[English]:[Science]])</calculatedColumnFormula>
    </tableColumn>
    <tableColumn id="6" xr3:uid="{89782648-913A-43C0-A0FE-0D6AF86FFE48}" name="Attendance %" dataDxfId="1"/>
    <tableColumn id="7" xr3:uid="{B67A9ECE-545C-49CC-A534-CE4B4C8551F4}" name="Resul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0F717-93E8-4FA6-8D50-BFFAF2EA9C8F}">
  <dimension ref="B2:H275"/>
  <sheetViews>
    <sheetView topLeftCell="A196" zoomScale="116" workbookViewId="0">
      <selection activeCell="F8" sqref="F8"/>
    </sheetView>
  </sheetViews>
  <sheetFormatPr defaultRowHeight="14.4"/>
  <cols>
    <col min="2" max="2" width="12.77734375" customWidth="1"/>
    <col min="3" max="3" width="19.6640625" customWidth="1"/>
    <col min="4" max="4" width="20.5546875" customWidth="1"/>
    <col min="5" max="5" width="28" customWidth="1"/>
    <col min="6" max="6" width="17.21875" customWidth="1"/>
    <col min="7" max="7" width="17.33203125" customWidth="1"/>
    <col min="8" max="11" width="12.77734375" customWidth="1"/>
  </cols>
  <sheetData>
    <row r="2" spans="2:6" ht="15" thickBot="1"/>
    <row r="3" spans="2:6">
      <c r="B3" s="58" t="s">
        <v>60</v>
      </c>
      <c r="C3" s="59"/>
      <c r="D3" s="59"/>
      <c r="E3" s="60"/>
    </row>
    <row r="4" spans="2:6" ht="15" thickBot="1">
      <c r="B4" s="61"/>
      <c r="C4" s="62"/>
      <c r="D4" s="62"/>
      <c r="E4" s="63"/>
    </row>
    <row r="6" spans="2:6" ht="25.05" customHeight="1">
      <c r="B6" s="11" t="s">
        <v>21</v>
      </c>
      <c r="C6" s="11" t="s">
        <v>61</v>
      </c>
      <c r="D6" s="11" t="s">
        <v>62</v>
      </c>
      <c r="E6" s="11" t="s">
        <v>63</v>
      </c>
      <c r="F6" s="11" t="s">
        <v>11</v>
      </c>
    </row>
    <row r="7" spans="2:6" ht="25.05" customHeight="1">
      <c r="B7" s="3" t="s">
        <v>23</v>
      </c>
      <c r="C7" s="3">
        <v>75</v>
      </c>
      <c r="D7" s="3">
        <v>75</v>
      </c>
      <c r="E7" s="3" t="s">
        <v>64</v>
      </c>
      <c r="F7" s="3"/>
    </row>
    <row r="8" spans="2:6" ht="25.05" customHeight="1">
      <c r="B8" s="3" t="s">
        <v>15</v>
      </c>
      <c r="C8" s="3">
        <v>85</v>
      </c>
      <c r="D8" s="3">
        <v>70</v>
      </c>
      <c r="E8" s="3" t="s">
        <v>65</v>
      </c>
      <c r="F8" s="3"/>
    </row>
    <row r="9" spans="2:6" ht="25.05" customHeight="1">
      <c r="B9" s="3" t="s">
        <v>19</v>
      </c>
      <c r="C9" s="3">
        <v>90</v>
      </c>
      <c r="D9" s="3">
        <v>75</v>
      </c>
      <c r="E9" s="3" t="s">
        <v>66</v>
      </c>
      <c r="F9" s="3"/>
    </row>
    <row r="10" spans="2:6" ht="25.05" customHeight="1">
      <c r="B10" s="3" t="s">
        <v>24</v>
      </c>
      <c r="C10" s="3">
        <v>60</v>
      </c>
      <c r="D10" s="3">
        <v>80</v>
      </c>
      <c r="E10" s="3" t="s">
        <v>67</v>
      </c>
      <c r="F10" s="3"/>
    </row>
    <row r="11" spans="2:6" ht="25.05" customHeight="1">
      <c r="B11" s="3" t="s">
        <v>14</v>
      </c>
      <c r="C11" s="3">
        <v>85</v>
      </c>
      <c r="D11" s="3">
        <v>80</v>
      </c>
      <c r="E11" s="3" t="s">
        <v>68</v>
      </c>
      <c r="F11" s="3"/>
    </row>
    <row r="12" spans="2:6" ht="25.05" customHeight="1">
      <c r="B12" s="3" t="s">
        <v>25</v>
      </c>
      <c r="C12" s="3">
        <v>70</v>
      </c>
      <c r="D12" s="3">
        <v>70</v>
      </c>
      <c r="E12" s="3" t="s">
        <v>69</v>
      </c>
      <c r="F12" s="3"/>
    </row>
    <row r="17" spans="2:8" ht="25.05" customHeight="1"/>
    <row r="18" spans="2:8" ht="25.05" customHeight="1" thickBot="1"/>
    <row r="19" spans="2:8" ht="25.05" customHeight="1">
      <c r="B19" s="58" t="s">
        <v>20</v>
      </c>
      <c r="C19" s="59"/>
      <c r="D19" s="59"/>
      <c r="E19" s="60"/>
    </row>
    <row r="20" spans="2:8" ht="25.05" customHeight="1" thickBot="1">
      <c r="B20" s="61"/>
      <c r="C20" s="62"/>
      <c r="D20" s="62"/>
      <c r="E20" s="63"/>
    </row>
    <row r="21" spans="2:8" ht="25.05" customHeight="1">
      <c r="B21" s="2"/>
      <c r="C21" s="2"/>
      <c r="D21" s="2"/>
      <c r="E21" s="2"/>
    </row>
    <row r="22" spans="2:8" ht="25.05" customHeight="1">
      <c r="B22" s="57" t="s">
        <v>70</v>
      </c>
      <c r="C22" s="57"/>
      <c r="D22" s="57"/>
      <c r="E22" s="57"/>
      <c r="F22" s="57"/>
      <c r="G22" s="57"/>
    </row>
    <row r="23" spans="2:8" ht="25.05" customHeight="1">
      <c r="B23" s="57"/>
      <c r="C23" s="57"/>
      <c r="D23" s="57"/>
      <c r="E23" s="57"/>
      <c r="F23" s="57"/>
      <c r="G23" s="57"/>
    </row>
    <row r="24" spans="2:8" ht="25.05" customHeight="1"/>
    <row r="25" spans="2:8" ht="25.05" customHeight="1">
      <c r="B25" s="7" t="s">
        <v>21</v>
      </c>
      <c r="C25" s="8" t="s">
        <v>9</v>
      </c>
      <c r="D25" s="8" t="s">
        <v>7</v>
      </c>
      <c r="E25" s="8" t="s">
        <v>8</v>
      </c>
      <c r="F25" s="8" t="s">
        <v>10</v>
      </c>
      <c r="G25" s="11" t="s">
        <v>22</v>
      </c>
      <c r="H25" s="8" t="s">
        <v>11</v>
      </c>
    </row>
    <row r="26" spans="2:8" ht="25.05" customHeight="1">
      <c r="B26" s="4" t="s">
        <v>23</v>
      </c>
      <c r="C26" s="3">
        <v>78</v>
      </c>
      <c r="D26" s="3">
        <v>85</v>
      </c>
      <c r="E26" s="3">
        <v>72</v>
      </c>
      <c r="F26" s="18">
        <f>SUM(Table7[[#This Row],[English]:[Science]])</f>
        <v>235</v>
      </c>
      <c r="G26" s="3">
        <v>92</v>
      </c>
      <c r="H26" s="18"/>
    </row>
    <row r="27" spans="2:8" ht="25.05" customHeight="1">
      <c r="B27" s="4" t="s">
        <v>15</v>
      </c>
      <c r="C27" s="3">
        <v>65</v>
      </c>
      <c r="D27" s="3">
        <v>55</v>
      </c>
      <c r="E27" s="3">
        <v>68</v>
      </c>
      <c r="F27" s="3">
        <f>SUM(Table7[[#This Row],[English]:[Science]])</f>
        <v>188</v>
      </c>
      <c r="G27" s="3">
        <v>88</v>
      </c>
      <c r="H27" s="3"/>
    </row>
    <row r="28" spans="2:8" ht="25.05" customHeight="1">
      <c r="B28" s="4" t="s">
        <v>19</v>
      </c>
      <c r="C28" s="3">
        <v>45</v>
      </c>
      <c r="D28" s="3">
        <v>72</v>
      </c>
      <c r="E28" s="3">
        <v>60</v>
      </c>
      <c r="F28" s="3">
        <f>SUM(Table7[[#This Row],[English]:[Science]])</f>
        <v>177</v>
      </c>
      <c r="G28" s="3">
        <v>91</v>
      </c>
      <c r="H28" s="3"/>
    </row>
    <row r="29" spans="2:8" ht="25.05" customHeight="1">
      <c r="B29" s="4" t="s">
        <v>24</v>
      </c>
      <c r="C29" s="3">
        <v>92</v>
      </c>
      <c r="D29" s="3">
        <v>95</v>
      </c>
      <c r="E29" s="3">
        <v>89</v>
      </c>
      <c r="F29" s="3">
        <f>SUM(Table7[[#This Row],[English]:[Science]])</f>
        <v>276</v>
      </c>
      <c r="G29" s="3">
        <v>97</v>
      </c>
      <c r="H29" s="3"/>
    </row>
    <row r="30" spans="2:8" ht="25.05" customHeight="1">
      <c r="B30" s="4" t="s">
        <v>14</v>
      </c>
      <c r="C30" s="3">
        <v>35</v>
      </c>
      <c r="D30" s="3">
        <v>42</v>
      </c>
      <c r="E30" s="3">
        <v>48</v>
      </c>
      <c r="F30" s="3">
        <f>SUM(Table7[[#This Row],[English]:[Science]])</f>
        <v>125</v>
      </c>
      <c r="G30" s="3">
        <v>75</v>
      </c>
      <c r="H30" s="3"/>
    </row>
    <row r="31" spans="2:8" ht="25.05" customHeight="1">
      <c r="B31" s="4" t="s">
        <v>25</v>
      </c>
      <c r="C31" s="3">
        <v>70</v>
      </c>
      <c r="D31" s="3">
        <v>68</v>
      </c>
      <c r="E31" s="3">
        <v>75</v>
      </c>
      <c r="F31" s="3">
        <f>SUM(Table7[[#This Row],[English]:[Science]])</f>
        <v>213</v>
      </c>
      <c r="G31" s="3">
        <v>82</v>
      </c>
      <c r="H31" s="3"/>
    </row>
    <row r="32" spans="2:8" ht="25.05" customHeight="1">
      <c r="B32" s="4" t="s">
        <v>26</v>
      </c>
      <c r="C32" s="3">
        <v>88</v>
      </c>
      <c r="D32" s="3">
        <v>76</v>
      </c>
      <c r="E32" s="3">
        <v>81</v>
      </c>
      <c r="F32" s="3">
        <f>SUM(Table7[[#This Row],[English]:[Science]])</f>
        <v>245</v>
      </c>
      <c r="G32" s="3">
        <v>95</v>
      </c>
      <c r="H32" s="3"/>
    </row>
    <row r="33" spans="2:8" ht="25.05" customHeight="1">
      <c r="B33" s="5" t="s">
        <v>13</v>
      </c>
      <c r="C33" s="6">
        <v>50</v>
      </c>
      <c r="D33" s="6">
        <v>38</v>
      </c>
      <c r="E33" s="6">
        <v>45</v>
      </c>
      <c r="F33" s="6">
        <f>SUM(Table7[[#This Row],[English]:[Science]])</f>
        <v>133</v>
      </c>
      <c r="G33" s="3">
        <v>79</v>
      </c>
      <c r="H33" s="6"/>
    </row>
    <row r="34" spans="2:8" ht="25.05" customHeight="1"/>
    <row r="35" spans="2:8" ht="25.05" customHeight="1"/>
    <row r="36" spans="2:8" ht="25.05" customHeight="1" thickBot="1"/>
    <row r="37" spans="2:8" ht="25.05" customHeight="1">
      <c r="B37" s="50" t="s">
        <v>27</v>
      </c>
      <c r="C37" s="51"/>
      <c r="D37" s="51"/>
      <c r="E37" s="52"/>
    </row>
    <row r="38" spans="2:8" ht="25.05" customHeight="1" thickBot="1">
      <c r="B38" s="53"/>
      <c r="C38" s="54"/>
      <c r="D38" s="54"/>
      <c r="E38" s="55"/>
    </row>
    <row r="39" spans="2:8" ht="25.05" customHeight="1"/>
    <row r="40" spans="2:8" ht="25.05" customHeight="1"/>
    <row r="41" spans="2:8" ht="25.05" customHeight="1">
      <c r="B41" s="57" t="s">
        <v>28</v>
      </c>
      <c r="C41" s="57"/>
      <c r="D41" s="57"/>
      <c r="E41" s="57"/>
      <c r="F41" s="57"/>
      <c r="G41" s="57"/>
    </row>
    <row r="42" spans="2:8" ht="25.05" customHeight="1">
      <c r="B42" s="57"/>
      <c r="C42" s="57"/>
      <c r="D42" s="57"/>
      <c r="E42" s="57"/>
      <c r="F42" s="57"/>
      <c r="G42" s="57"/>
    </row>
    <row r="43" spans="2:8" ht="25.05" customHeight="1"/>
    <row r="44" spans="2:8" ht="25.05" customHeight="1"/>
    <row r="45" spans="2:8" ht="25.05" customHeight="1">
      <c r="B45" s="11" t="s">
        <v>21</v>
      </c>
      <c r="C45" s="12" t="s">
        <v>7</v>
      </c>
      <c r="D45" s="11" t="s">
        <v>29</v>
      </c>
    </row>
    <row r="46" spans="2:8" ht="25.05" customHeight="1">
      <c r="B46" s="1" t="s">
        <v>23</v>
      </c>
      <c r="C46" s="13">
        <v>85</v>
      </c>
      <c r="D46" s="1"/>
    </row>
    <row r="47" spans="2:8" ht="25.05" customHeight="1">
      <c r="B47" s="1" t="s">
        <v>15</v>
      </c>
      <c r="C47" s="13">
        <v>55</v>
      </c>
      <c r="D47" s="1"/>
    </row>
    <row r="48" spans="2:8" ht="25.05" customHeight="1">
      <c r="B48" s="1" t="s">
        <v>19</v>
      </c>
      <c r="C48" s="13">
        <v>72</v>
      </c>
      <c r="D48" s="1"/>
    </row>
    <row r="49" spans="2:7" ht="25.05" customHeight="1">
      <c r="B49" s="1" t="s">
        <v>14</v>
      </c>
      <c r="C49" s="13">
        <v>42</v>
      </c>
      <c r="D49" s="1"/>
    </row>
    <row r="50" spans="2:7" ht="25.05" customHeight="1"/>
    <row r="51" spans="2:7" ht="25.05" customHeight="1"/>
    <row r="52" spans="2:7" ht="25.05" customHeight="1" thickBot="1"/>
    <row r="53" spans="2:7" ht="25.05" customHeight="1">
      <c r="B53" s="50" t="s">
        <v>30</v>
      </c>
      <c r="C53" s="51"/>
      <c r="D53" s="51"/>
      <c r="E53" s="52"/>
    </row>
    <row r="54" spans="2:7" ht="25.05" customHeight="1" thickBot="1">
      <c r="B54" s="53"/>
      <c r="C54" s="54"/>
      <c r="D54" s="54"/>
      <c r="E54" s="55"/>
    </row>
    <row r="55" spans="2:7" ht="25.05" customHeight="1"/>
    <row r="56" spans="2:7" ht="25.05" customHeight="1"/>
    <row r="57" spans="2:7" ht="25.05" customHeight="1">
      <c r="B57" s="57" t="s">
        <v>31</v>
      </c>
      <c r="C57" s="57"/>
      <c r="D57" s="57"/>
      <c r="E57" s="57"/>
      <c r="F57" s="57"/>
      <c r="G57" s="57"/>
    </row>
    <row r="58" spans="2:7" ht="25.05" customHeight="1">
      <c r="B58" s="57"/>
      <c r="C58" s="57"/>
      <c r="D58" s="57"/>
      <c r="E58" s="57"/>
      <c r="F58" s="57"/>
      <c r="G58" s="57"/>
    </row>
    <row r="59" spans="2:7" ht="25.05" customHeight="1"/>
    <row r="60" spans="2:7" ht="25.05" customHeight="1"/>
    <row r="61" spans="2:7" ht="25.05" customHeight="1">
      <c r="B61" s="19" t="s">
        <v>21</v>
      </c>
      <c r="C61" s="20" t="s">
        <v>32</v>
      </c>
      <c r="D61" s="21" t="s">
        <v>11</v>
      </c>
    </row>
    <row r="62" spans="2:7" ht="25.05" customHeight="1">
      <c r="B62" s="22" t="s">
        <v>23</v>
      </c>
      <c r="C62" s="23">
        <v>2</v>
      </c>
      <c r="D62" s="24"/>
    </row>
    <row r="63" spans="2:7" ht="25.05" customHeight="1">
      <c r="B63" s="22" t="s">
        <v>15</v>
      </c>
      <c r="C63" s="23">
        <v>0</v>
      </c>
      <c r="D63" s="24"/>
    </row>
    <row r="64" spans="2:7" ht="25.05" customHeight="1">
      <c r="B64" s="22" t="s">
        <v>19</v>
      </c>
      <c r="C64" s="23">
        <v>5</v>
      </c>
      <c r="D64" s="24"/>
    </row>
    <row r="65" spans="2:7" ht="25.05" customHeight="1">
      <c r="B65" s="22" t="s">
        <v>24</v>
      </c>
      <c r="C65" s="23">
        <v>1</v>
      </c>
      <c r="D65" s="24"/>
    </row>
    <row r="66" spans="2:7" ht="25.05" customHeight="1">
      <c r="B66" s="22" t="s">
        <v>14</v>
      </c>
      <c r="C66" s="23">
        <v>8</v>
      </c>
      <c r="D66" s="24"/>
    </row>
    <row r="67" spans="2:7" ht="25.05" customHeight="1"/>
    <row r="68" spans="2:7" ht="25.05" customHeight="1"/>
    <row r="69" spans="2:7" ht="25.05" customHeight="1" thickBot="1"/>
    <row r="70" spans="2:7" ht="25.05" customHeight="1">
      <c r="B70" s="50" t="s">
        <v>33</v>
      </c>
      <c r="C70" s="51"/>
      <c r="D70" s="51"/>
      <c r="E70" s="52"/>
    </row>
    <row r="71" spans="2:7" ht="25.05" customHeight="1" thickBot="1">
      <c r="B71" s="53"/>
      <c r="C71" s="54"/>
      <c r="D71" s="54"/>
      <c r="E71" s="55"/>
    </row>
    <row r="72" spans="2:7" ht="25.05" customHeight="1"/>
    <row r="73" spans="2:7" ht="25.05" customHeight="1"/>
    <row r="74" spans="2:7" ht="25.05" customHeight="1"/>
    <row r="75" spans="2:7" ht="25.05" customHeight="1">
      <c r="B75" s="57" t="s">
        <v>34</v>
      </c>
      <c r="C75" s="57"/>
      <c r="D75" s="57"/>
      <c r="E75" s="57"/>
      <c r="F75" s="57"/>
      <c r="G75" s="57"/>
    </row>
    <row r="76" spans="2:7" ht="25.05" customHeight="1">
      <c r="B76" s="57"/>
      <c r="C76" s="57"/>
      <c r="D76" s="57"/>
      <c r="E76" s="57"/>
      <c r="F76" s="57"/>
      <c r="G76" s="57"/>
    </row>
    <row r="77" spans="2:7" ht="25.05" customHeight="1"/>
    <row r="78" spans="2:7" ht="25.05" customHeight="1"/>
    <row r="79" spans="2:7" ht="25.05" customHeight="1"/>
    <row r="80" spans="2:7" ht="25.05" customHeight="1">
      <c r="B80" s="16" t="s">
        <v>21</v>
      </c>
      <c r="C80" s="16" t="s">
        <v>16</v>
      </c>
      <c r="D80" s="16" t="s">
        <v>35</v>
      </c>
      <c r="E80" s="17" t="s">
        <v>11</v>
      </c>
    </row>
    <row r="81" spans="2:5" ht="25.05" customHeight="1">
      <c r="B81" s="14" t="s">
        <v>23</v>
      </c>
      <c r="C81" s="14">
        <v>92</v>
      </c>
      <c r="D81" s="14" t="s">
        <v>17</v>
      </c>
      <c r="E81" s="15"/>
    </row>
    <row r="82" spans="2:5" ht="25.05" customHeight="1">
      <c r="B82" s="14" t="s">
        <v>15</v>
      </c>
      <c r="C82" s="14">
        <v>88</v>
      </c>
      <c r="D82" s="14" t="s">
        <v>18</v>
      </c>
      <c r="E82" s="15"/>
    </row>
    <row r="83" spans="2:5" ht="25.05" customHeight="1">
      <c r="B83" s="14" t="s">
        <v>19</v>
      </c>
      <c r="C83" s="14">
        <v>72</v>
      </c>
      <c r="D83" s="14" t="s">
        <v>17</v>
      </c>
      <c r="E83" s="15"/>
    </row>
    <row r="84" spans="2:5" ht="25.05" customHeight="1">
      <c r="B84" s="14" t="s">
        <v>24</v>
      </c>
      <c r="C84" s="14">
        <v>95</v>
      </c>
      <c r="D84" s="14" t="s">
        <v>17</v>
      </c>
      <c r="E84" s="15"/>
    </row>
    <row r="85" spans="2:5" ht="25.05" customHeight="1">
      <c r="B85" s="14" t="s">
        <v>14</v>
      </c>
      <c r="C85" s="14">
        <v>75</v>
      </c>
      <c r="D85" s="14" t="s">
        <v>18</v>
      </c>
      <c r="E85" s="15"/>
    </row>
    <row r="86" spans="2:5" ht="25.05" customHeight="1"/>
    <row r="87" spans="2:5" ht="25.05" customHeight="1"/>
    <row r="88" spans="2:5" ht="25.05" customHeight="1"/>
    <row r="89" spans="2:5" ht="25.05" customHeight="1"/>
    <row r="90" spans="2:5" ht="25.05" customHeight="1" thickBot="1"/>
    <row r="91" spans="2:5" ht="25.05" customHeight="1">
      <c r="B91" s="50" t="s">
        <v>52</v>
      </c>
      <c r="C91" s="51"/>
      <c r="D91" s="51"/>
      <c r="E91" s="52"/>
    </row>
    <row r="92" spans="2:5" ht="25.05" customHeight="1" thickBot="1">
      <c r="B92" s="53"/>
      <c r="C92" s="54"/>
      <c r="D92" s="54"/>
      <c r="E92" s="55"/>
    </row>
    <row r="93" spans="2:5" ht="25.05" customHeight="1"/>
    <row r="94" spans="2:5" ht="25.05" customHeight="1"/>
    <row r="95" spans="2:5" ht="25.05" customHeight="1">
      <c r="B95" s="64" t="s">
        <v>36</v>
      </c>
      <c r="C95" s="64"/>
      <c r="D95" s="64"/>
    </row>
    <row r="96" spans="2:5" ht="25.05" customHeight="1">
      <c r="B96" s="64"/>
      <c r="C96" s="64"/>
      <c r="D96" s="64"/>
    </row>
    <row r="97" spans="2:5" ht="25.05" customHeight="1">
      <c r="B97" s="64"/>
      <c r="C97" s="64"/>
      <c r="D97" s="64"/>
    </row>
    <row r="98" spans="2:5" ht="25.05" customHeight="1">
      <c r="B98" s="64"/>
      <c r="C98" s="64"/>
      <c r="D98" s="64"/>
    </row>
    <row r="99" spans="2:5" ht="25.05" customHeight="1">
      <c r="B99" s="64"/>
      <c r="C99" s="64"/>
      <c r="D99" s="64"/>
    </row>
    <row r="100" spans="2:5" ht="25.05" customHeight="1">
      <c r="B100" s="64"/>
      <c r="C100" s="64"/>
      <c r="D100" s="64"/>
    </row>
    <row r="101" spans="2:5" ht="25.05" customHeight="1">
      <c r="B101" s="64"/>
      <c r="C101" s="64"/>
      <c r="D101" s="64"/>
    </row>
    <row r="102" spans="2:5" ht="25.05" customHeight="1"/>
    <row r="103" spans="2:5" ht="25.05" customHeight="1"/>
    <row r="104" spans="2:5" ht="25.05" customHeight="1"/>
    <row r="105" spans="2:5" ht="25.05" customHeight="1">
      <c r="B105" s="16" t="s">
        <v>21</v>
      </c>
      <c r="C105" s="16" t="s">
        <v>35</v>
      </c>
      <c r="D105" s="16" t="s">
        <v>37</v>
      </c>
      <c r="E105" s="17" t="s">
        <v>38</v>
      </c>
    </row>
    <row r="106" spans="2:5" ht="25.05" customHeight="1">
      <c r="B106" s="14" t="s">
        <v>23</v>
      </c>
      <c r="C106" s="14" t="s">
        <v>17</v>
      </c>
      <c r="D106" s="14" t="s">
        <v>17</v>
      </c>
      <c r="E106" s="15"/>
    </row>
    <row r="107" spans="2:5" ht="25.05" customHeight="1">
      <c r="B107" s="14" t="s">
        <v>15</v>
      </c>
      <c r="C107" s="14" t="s">
        <v>17</v>
      </c>
      <c r="D107" s="14" t="s">
        <v>18</v>
      </c>
      <c r="E107" s="15"/>
    </row>
    <row r="108" spans="2:5" ht="25.05" customHeight="1">
      <c r="B108" s="14" t="s">
        <v>19</v>
      </c>
      <c r="C108" s="14" t="s">
        <v>18</v>
      </c>
      <c r="D108" s="14" t="s">
        <v>17</v>
      </c>
      <c r="E108" s="15"/>
    </row>
    <row r="109" spans="2:5" ht="25.05" customHeight="1">
      <c r="B109" s="14" t="s">
        <v>24</v>
      </c>
      <c r="C109" s="14" t="s">
        <v>17</v>
      </c>
      <c r="D109" s="14" t="s">
        <v>17</v>
      </c>
      <c r="E109" s="15"/>
    </row>
    <row r="110" spans="2:5" ht="25.05" customHeight="1">
      <c r="B110" s="14" t="s">
        <v>14</v>
      </c>
      <c r="C110" s="14" t="s">
        <v>18</v>
      </c>
      <c r="D110" s="14" t="s">
        <v>18</v>
      </c>
      <c r="E110" s="15"/>
    </row>
    <row r="111" spans="2:5" ht="25.05" customHeight="1"/>
    <row r="112" spans="2:5" ht="25.05" customHeight="1"/>
    <row r="113" spans="2:6" ht="25.05" customHeight="1"/>
    <row r="114" spans="2:6" ht="25.05" customHeight="1" thickBot="1"/>
    <row r="115" spans="2:6" ht="25.05" customHeight="1">
      <c r="B115" s="50" t="s">
        <v>53</v>
      </c>
      <c r="C115" s="51"/>
      <c r="D115" s="51"/>
      <c r="E115" s="52"/>
    </row>
    <row r="116" spans="2:6" ht="25.05" customHeight="1" thickBot="1">
      <c r="B116" s="53"/>
      <c r="C116" s="54"/>
      <c r="D116" s="54"/>
      <c r="E116" s="55"/>
    </row>
    <row r="117" spans="2:6" ht="25.05" customHeight="1"/>
    <row r="118" spans="2:6" ht="25.05" customHeight="1"/>
    <row r="119" spans="2:6" ht="25.05" customHeight="1">
      <c r="B119" s="64" t="s">
        <v>39</v>
      </c>
      <c r="C119" s="64"/>
      <c r="D119" s="64"/>
      <c r="E119" s="64"/>
      <c r="F119" s="64"/>
    </row>
    <row r="120" spans="2:6" ht="25.05" customHeight="1">
      <c r="B120" s="64"/>
      <c r="C120" s="64"/>
      <c r="D120" s="64"/>
      <c r="E120" s="64"/>
      <c r="F120" s="64"/>
    </row>
    <row r="121" spans="2:6" ht="25.05" customHeight="1">
      <c r="B121" s="64"/>
      <c r="C121" s="64"/>
      <c r="D121" s="64"/>
      <c r="E121" s="64"/>
      <c r="F121" s="64"/>
    </row>
    <row r="122" spans="2:6" ht="25.05" customHeight="1">
      <c r="B122" s="64"/>
      <c r="C122" s="64"/>
      <c r="D122" s="64"/>
      <c r="E122" s="64"/>
      <c r="F122" s="64"/>
    </row>
    <row r="123" spans="2:6" ht="25.05" customHeight="1">
      <c r="B123" s="64"/>
      <c r="C123" s="64"/>
      <c r="D123" s="64"/>
      <c r="E123" s="64"/>
      <c r="F123" s="64"/>
    </row>
    <row r="124" spans="2:6" ht="25.05" customHeight="1">
      <c r="B124" s="64"/>
      <c r="C124" s="64"/>
      <c r="D124" s="64"/>
      <c r="E124" s="64"/>
      <c r="F124" s="64"/>
    </row>
    <row r="125" spans="2:6" ht="25.05" customHeight="1">
      <c r="B125" s="64"/>
      <c r="C125" s="64"/>
      <c r="D125" s="64"/>
      <c r="E125" s="64"/>
      <c r="F125" s="64"/>
    </row>
    <row r="126" spans="2:6" ht="25.05" customHeight="1"/>
    <row r="127" spans="2:6" ht="25.05" customHeight="1"/>
    <row r="128" spans="2:6" ht="25.05" customHeight="1">
      <c r="B128" s="16" t="s">
        <v>21</v>
      </c>
      <c r="C128" s="16" t="s">
        <v>7</v>
      </c>
      <c r="D128" s="16" t="s">
        <v>8</v>
      </c>
      <c r="E128" s="17" t="s">
        <v>40</v>
      </c>
    </row>
    <row r="129" spans="2:6" ht="25.05" customHeight="1">
      <c r="B129" s="14" t="s">
        <v>23</v>
      </c>
      <c r="C129" s="14">
        <v>85</v>
      </c>
      <c r="D129" s="14">
        <v>92</v>
      </c>
      <c r="E129" s="15"/>
    </row>
    <row r="130" spans="2:6" ht="25.05" customHeight="1">
      <c r="B130" s="14" t="s">
        <v>15</v>
      </c>
      <c r="C130" s="14">
        <v>95</v>
      </c>
      <c r="D130" s="14">
        <v>68</v>
      </c>
      <c r="E130" s="15"/>
    </row>
    <row r="131" spans="2:6" ht="25.05" customHeight="1">
      <c r="B131" s="14" t="s">
        <v>19</v>
      </c>
      <c r="C131" s="14">
        <v>72</v>
      </c>
      <c r="D131" s="14">
        <v>75</v>
      </c>
      <c r="E131" s="15"/>
    </row>
    <row r="132" spans="2:6" ht="25.05" customHeight="1">
      <c r="B132" s="14" t="s">
        <v>24</v>
      </c>
      <c r="C132" s="14">
        <v>90</v>
      </c>
      <c r="D132" s="14">
        <v>91</v>
      </c>
      <c r="E132" s="15"/>
    </row>
    <row r="133" spans="2:6" ht="25.05" customHeight="1">
      <c r="B133" s="14" t="s">
        <v>14</v>
      </c>
      <c r="C133" s="14">
        <v>55</v>
      </c>
      <c r="D133" s="14">
        <v>48</v>
      </c>
      <c r="E133" s="15"/>
    </row>
    <row r="134" spans="2:6" ht="25.05" customHeight="1"/>
    <row r="135" spans="2:6" ht="25.05" customHeight="1" thickBot="1"/>
    <row r="136" spans="2:6" ht="25.05" customHeight="1">
      <c r="B136" s="50" t="s">
        <v>54</v>
      </c>
      <c r="C136" s="51"/>
      <c r="D136" s="51"/>
      <c r="E136" s="52"/>
    </row>
    <row r="137" spans="2:6" ht="25.05" customHeight="1" thickBot="1">
      <c r="B137" s="53"/>
      <c r="C137" s="54"/>
      <c r="D137" s="54"/>
      <c r="E137" s="55"/>
    </row>
    <row r="138" spans="2:6" ht="25.05" customHeight="1">
      <c r="B138" s="65"/>
      <c r="C138" s="65"/>
      <c r="D138" s="65"/>
      <c r="E138" s="65"/>
    </row>
    <row r="139" spans="2:6" ht="25.05" customHeight="1"/>
    <row r="140" spans="2:6" ht="25.05" customHeight="1"/>
    <row r="141" spans="2:6" ht="25.05" customHeight="1">
      <c r="B141" s="64" t="s">
        <v>41</v>
      </c>
      <c r="C141" s="64"/>
      <c r="D141" s="64"/>
      <c r="E141" s="64"/>
      <c r="F141" s="64"/>
    </row>
    <row r="142" spans="2:6" ht="25.05" customHeight="1">
      <c r="B142" s="64"/>
      <c r="C142" s="64"/>
      <c r="D142" s="64"/>
      <c r="E142" s="64"/>
      <c r="F142" s="64"/>
    </row>
    <row r="143" spans="2:6" ht="25.05" customHeight="1">
      <c r="B143" s="64"/>
      <c r="C143" s="64"/>
      <c r="D143" s="64"/>
      <c r="E143" s="64"/>
      <c r="F143" s="64"/>
    </row>
    <row r="144" spans="2:6" ht="25.05" customHeight="1">
      <c r="B144" s="64"/>
      <c r="C144" s="64"/>
      <c r="D144" s="64"/>
      <c r="E144" s="64"/>
      <c r="F144" s="64"/>
    </row>
    <row r="145" spans="2:6" ht="25.05" customHeight="1">
      <c r="B145" s="64"/>
      <c r="C145" s="64"/>
      <c r="D145" s="64"/>
      <c r="E145" s="64"/>
      <c r="F145" s="64"/>
    </row>
    <row r="146" spans="2:6" ht="25.05" customHeight="1">
      <c r="B146" s="64"/>
      <c r="C146" s="64"/>
      <c r="D146" s="64"/>
      <c r="E146" s="64"/>
      <c r="F146" s="64"/>
    </row>
    <row r="147" spans="2:6" ht="25.05" customHeight="1">
      <c r="B147" s="64"/>
      <c r="C147" s="64"/>
      <c r="D147" s="64"/>
      <c r="E147" s="64"/>
      <c r="F147" s="64"/>
    </row>
    <row r="148" spans="2:6" ht="25.05" customHeight="1">
      <c r="B148" s="64"/>
      <c r="C148" s="64"/>
      <c r="D148" s="64"/>
      <c r="E148" s="64"/>
      <c r="F148" s="64"/>
    </row>
    <row r="149" spans="2:6" ht="25.05" customHeight="1"/>
    <row r="150" spans="2:6" ht="25.05" customHeight="1"/>
    <row r="151" spans="2:6" ht="25.05" customHeight="1"/>
    <row r="152" spans="2:6" ht="25.05" customHeight="1">
      <c r="B152" s="16" t="s">
        <v>21</v>
      </c>
      <c r="C152" s="16" t="s">
        <v>42</v>
      </c>
      <c r="D152" s="16" t="s">
        <v>43</v>
      </c>
    </row>
    <row r="153" spans="2:6" ht="25.05" customHeight="1">
      <c r="B153" s="14" t="s">
        <v>23</v>
      </c>
      <c r="C153" s="14" t="s">
        <v>17</v>
      </c>
      <c r="D153" s="14"/>
    </row>
    <row r="154" spans="2:6" ht="25.05" customHeight="1">
      <c r="B154" s="14" t="s">
        <v>15</v>
      </c>
      <c r="C154" s="14" t="s">
        <v>18</v>
      </c>
      <c r="D154" s="14"/>
    </row>
    <row r="155" spans="2:6" ht="25.05" customHeight="1">
      <c r="B155" s="14" t="s">
        <v>19</v>
      </c>
      <c r="C155" s="14" t="s">
        <v>17</v>
      </c>
      <c r="D155" s="14"/>
    </row>
    <row r="156" spans="2:6" ht="25.05" customHeight="1">
      <c r="B156" s="14" t="s">
        <v>24</v>
      </c>
      <c r="C156" s="14" t="s">
        <v>18</v>
      </c>
      <c r="D156" s="14"/>
    </row>
    <row r="157" spans="2:6" ht="25.05" customHeight="1">
      <c r="B157" s="14" t="s">
        <v>14</v>
      </c>
      <c r="C157" s="14" t="s">
        <v>17</v>
      </c>
      <c r="D157" s="14"/>
    </row>
    <row r="158" spans="2:6" ht="25.05" customHeight="1"/>
    <row r="159" spans="2:6" ht="25.05" customHeight="1"/>
    <row r="160" spans="2:6" ht="25.05" customHeight="1"/>
    <row r="161" spans="2:6" ht="25.05" customHeight="1" thickBot="1"/>
    <row r="162" spans="2:6" ht="25.05" customHeight="1">
      <c r="B162" s="50" t="s">
        <v>55</v>
      </c>
      <c r="C162" s="51"/>
      <c r="D162" s="51"/>
      <c r="E162" s="52"/>
    </row>
    <row r="163" spans="2:6" ht="25.05" customHeight="1" thickBot="1">
      <c r="B163" s="53"/>
      <c r="C163" s="54"/>
      <c r="D163" s="54"/>
      <c r="E163" s="55"/>
    </row>
    <row r="164" spans="2:6" ht="25.05" customHeight="1"/>
    <row r="165" spans="2:6" ht="25.05" customHeight="1"/>
    <row r="166" spans="2:6" ht="25.05" customHeight="1">
      <c r="B166" s="64" t="s">
        <v>44</v>
      </c>
      <c r="C166" s="64"/>
      <c r="D166" s="64"/>
    </row>
    <row r="167" spans="2:6" ht="25.05" customHeight="1">
      <c r="B167" s="64"/>
      <c r="C167" s="64"/>
      <c r="D167" s="64"/>
    </row>
    <row r="168" spans="2:6" ht="25.05" customHeight="1">
      <c r="B168" s="64"/>
      <c r="C168" s="64"/>
      <c r="D168" s="64"/>
    </row>
    <row r="169" spans="2:6" ht="25.05" customHeight="1">
      <c r="B169" s="64"/>
      <c r="C169" s="64"/>
      <c r="D169" s="64"/>
    </row>
    <row r="170" spans="2:6" ht="25.05" customHeight="1">
      <c r="B170" s="64"/>
      <c r="C170" s="64"/>
      <c r="D170" s="64"/>
    </row>
    <row r="171" spans="2:6" ht="25.05" customHeight="1">
      <c r="B171" s="64"/>
      <c r="C171" s="64"/>
      <c r="D171" s="64"/>
    </row>
    <row r="172" spans="2:6" ht="25.05" customHeight="1">
      <c r="B172" s="64"/>
      <c r="C172" s="64"/>
      <c r="D172" s="64"/>
    </row>
    <row r="173" spans="2:6" ht="25.05" customHeight="1"/>
    <row r="174" spans="2:6" ht="25.05" customHeight="1"/>
    <row r="175" spans="2:6" ht="25.05" customHeight="1">
      <c r="B175" s="16" t="s">
        <v>21</v>
      </c>
      <c r="C175" s="16" t="s">
        <v>16</v>
      </c>
      <c r="D175" s="16" t="s">
        <v>45</v>
      </c>
      <c r="E175" s="16" t="s">
        <v>11</v>
      </c>
      <c r="F175" t="str">
        <f>IF(AND(C18&gt;=75,D18="Yes"),"Eligible","Not Eligible")</f>
        <v>Not Eligible</v>
      </c>
    </row>
    <row r="176" spans="2:6" ht="25.05" customHeight="1">
      <c r="B176" s="14" t="s">
        <v>23</v>
      </c>
      <c r="C176" s="14">
        <v>85</v>
      </c>
      <c r="D176" s="14" t="s">
        <v>17</v>
      </c>
      <c r="E176" s="14"/>
    </row>
    <row r="177" spans="2:7" ht="25.05" customHeight="1">
      <c r="B177" s="14" t="s">
        <v>15</v>
      </c>
      <c r="C177" s="14">
        <v>72</v>
      </c>
      <c r="D177" s="14" t="s">
        <v>17</v>
      </c>
      <c r="E177" s="14"/>
    </row>
    <row r="178" spans="2:7" ht="25.05" customHeight="1">
      <c r="B178" s="14" t="s">
        <v>19</v>
      </c>
      <c r="C178" s="14">
        <v>90</v>
      </c>
      <c r="D178" s="14" t="s">
        <v>18</v>
      </c>
      <c r="E178" s="14"/>
    </row>
    <row r="179" spans="2:7" ht="25.05" customHeight="1">
      <c r="B179" s="14" t="s">
        <v>24</v>
      </c>
      <c r="C179" s="14">
        <v>80</v>
      </c>
      <c r="D179" s="14" t="s">
        <v>17</v>
      </c>
      <c r="E179" s="14"/>
    </row>
    <row r="180" spans="2:7" ht="25.05" customHeight="1">
      <c r="B180" s="14" t="s">
        <v>14</v>
      </c>
      <c r="C180" s="14">
        <v>65</v>
      </c>
      <c r="D180" s="14" t="s">
        <v>18</v>
      </c>
      <c r="E180" s="14"/>
    </row>
    <row r="181" spans="2:7" ht="25.05" customHeight="1"/>
    <row r="182" spans="2:7" ht="25.05" customHeight="1"/>
    <row r="183" spans="2:7" ht="25.05" customHeight="1"/>
    <row r="184" spans="2:7" ht="25.05" customHeight="1" thickBot="1"/>
    <row r="185" spans="2:7" ht="25.05" customHeight="1">
      <c r="B185" s="50" t="s">
        <v>56</v>
      </c>
      <c r="C185" s="51"/>
      <c r="D185" s="51"/>
      <c r="E185" s="52"/>
    </row>
    <row r="186" spans="2:7" ht="25.05" customHeight="1" thickBot="1">
      <c r="B186" s="53"/>
      <c r="C186" s="54"/>
      <c r="D186" s="54"/>
      <c r="E186" s="55"/>
    </row>
    <row r="187" spans="2:7" ht="25.05" customHeight="1">
      <c r="F187" s="65"/>
      <c r="G187" s="65"/>
    </row>
    <row r="188" spans="2:7" ht="25.05" customHeight="1"/>
    <row r="189" spans="2:7" ht="25.05" customHeight="1"/>
    <row r="190" spans="2:7" ht="25.05" customHeight="1">
      <c r="B190" s="64" t="s">
        <v>46</v>
      </c>
      <c r="C190" s="64"/>
      <c r="D190" s="64"/>
      <c r="E190" s="64"/>
      <c r="F190" s="64"/>
    </row>
    <row r="191" spans="2:7" ht="25.05" customHeight="1">
      <c r="B191" s="64"/>
      <c r="C191" s="64"/>
      <c r="D191" s="64"/>
      <c r="E191" s="64"/>
      <c r="F191" s="64"/>
    </row>
    <row r="192" spans="2:7" ht="25.05" customHeight="1">
      <c r="B192" s="64"/>
      <c r="C192" s="64"/>
      <c r="D192" s="64"/>
      <c r="E192" s="64"/>
      <c r="F192" s="64"/>
    </row>
    <row r="193" spans="2:6" ht="25.05" customHeight="1">
      <c r="B193" s="64"/>
      <c r="C193" s="64"/>
      <c r="D193" s="64"/>
      <c r="E193" s="64"/>
      <c r="F193" s="64"/>
    </row>
    <row r="194" spans="2:6" ht="25.05" customHeight="1">
      <c r="B194" s="64"/>
      <c r="C194" s="64"/>
      <c r="D194" s="64"/>
      <c r="E194" s="64"/>
      <c r="F194" s="64"/>
    </row>
    <row r="195" spans="2:6" ht="25.05" customHeight="1"/>
    <row r="196" spans="2:6" ht="25.05" customHeight="1"/>
    <row r="197" spans="2:6" ht="25.05" customHeight="1">
      <c r="B197" s="16" t="s">
        <v>21</v>
      </c>
      <c r="C197" s="16" t="s">
        <v>35</v>
      </c>
      <c r="D197" s="16" t="s">
        <v>37</v>
      </c>
      <c r="E197" s="16" t="s">
        <v>11</v>
      </c>
      <c r="F197" t="str">
        <f>IF(AND(C18="Yes",D18="Yes"),"Can Go","Cannot Go")</f>
        <v>Cannot Go</v>
      </c>
    </row>
    <row r="198" spans="2:6" ht="25.05" customHeight="1">
      <c r="B198" s="14" t="s">
        <v>23</v>
      </c>
      <c r="C198" s="14" t="s">
        <v>17</v>
      </c>
      <c r="D198" s="14" t="s">
        <v>17</v>
      </c>
      <c r="E198" s="14"/>
    </row>
    <row r="199" spans="2:6" ht="25.05" customHeight="1">
      <c r="B199" s="14" t="s">
        <v>15</v>
      </c>
      <c r="C199" s="14" t="s">
        <v>17</v>
      </c>
      <c r="D199" s="14" t="s">
        <v>18</v>
      </c>
      <c r="E199" s="14"/>
    </row>
    <row r="200" spans="2:6" ht="25.05" customHeight="1">
      <c r="B200" s="14" t="s">
        <v>19</v>
      </c>
      <c r="C200" s="14" t="s">
        <v>18</v>
      </c>
      <c r="D200" s="14" t="s">
        <v>17</v>
      </c>
      <c r="E200" s="14"/>
    </row>
    <row r="201" spans="2:6" ht="25.05" customHeight="1">
      <c r="B201" s="14" t="s">
        <v>24</v>
      </c>
      <c r="C201" s="14" t="s">
        <v>17</v>
      </c>
      <c r="D201" s="14" t="s">
        <v>17</v>
      </c>
      <c r="E201" s="14"/>
    </row>
    <row r="202" spans="2:6" ht="25.05" customHeight="1">
      <c r="B202" s="14" t="s">
        <v>14</v>
      </c>
      <c r="C202" s="14" t="s">
        <v>18</v>
      </c>
      <c r="D202" s="14" t="s">
        <v>18</v>
      </c>
      <c r="E202" s="14"/>
    </row>
    <row r="203" spans="2:6" ht="25.05" customHeight="1"/>
    <row r="204" spans="2:6" ht="25.05" customHeight="1" thickBot="1"/>
    <row r="205" spans="2:6" ht="25.05" customHeight="1">
      <c r="B205" s="50" t="s">
        <v>57</v>
      </c>
      <c r="C205" s="51"/>
      <c r="D205" s="51"/>
      <c r="E205" s="52"/>
    </row>
    <row r="206" spans="2:6" ht="25.05" customHeight="1" thickBot="1">
      <c r="B206" s="53"/>
      <c r="C206" s="54"/>
      <c r="D206" s="54"/>
      <c r="E206" s="55"/>
    </row>
    <row r="207" spans="2:6" ht="25.05" customHeight="1"/>
    <row r="208" spans="2:6" ht="25.05" customHeight="1"/>
    <row r="209" spans="2:6" ht="25.05" customHeight="1">
      <c r="B209" s="64" t="s">
        <v>47</v>
      </c>
      <c r="C209" s="64"/>
      <c r="D209" s="64"/>
      <c r="E209" s="64"/>
      <c r="F209" s="64"/>
    </row>
    <row r="210" spans="2:6" ht="25.05" customHeight="1">
      <c r="B210" s="64"/>
      <c r="C210" s="64"/>
      <c r="D210" s="64"/>
      <c r="E210" s="64"/>
      <c r="F210" s="64"/>
    </row>
    <row r="211" spans="2:6" ht="25.05" customHeight="1">
      <c r="B211" s="64"/>
      <c r="C211" s="64"/>
      <c r="D211" s="64"/>
      <c r="E211" s="64"/>
      <c r="F211" s="64"/>
    </row>
    <row r="212" spans="2:6" ht="25.05" customHeight="1">
      <c r="B212" s="64"/>
      <c r="C212" s="64"/>
      <c r="D212" s="64"/>
      <c r="E212" s="64"/>
      <c r="F212" s="64"/>
    </row>
    <row r="213" spans="2:6" ht="25.05" customHeight="1">
      <c r="B213" s="64"/>
      <c r="C213" s="64"/>
      <c r="D213" s="64"/>
      <c r="E213" s="64"/>
      <c r="F213" s="64"/>
    </row>
    <row r="214" spans="2:6" ht="25.05" customHeight="1"/>
    <row r="215" spans="2:6" ht="25.05" customHeight="1"/>
    <row r="216" spans="2:6" ht="25.05" customHeight="1"/>
    <row r="217" spans="2:6" ht="25.05" customHeight="1">
      <c r="B217" s="16" t="s">
        <v>21</v>
      </c>
      <c r="C217" s="16" t="s">
        <v>7</v>
      </c>
      <c r="D217" s="16" t="s">
        <v>8</v>
      </c>
      <c r="E217" s="16" t="s">
        <v>11</v>
      </c>
      <c r="F217" t="str">
        <f>IF(OR(C18&gt;=90,D18&gt;=90),"Selected","Not Selected")</f>
        <v>Not Selected</v>
      </c>
    </row>
    <row r="218" spans="2:6" ht="25.05" customHeight="1">
      <c r="B218" s="14" t="s">
        <v>23</v>
      </c>
      <c r="C218" s="14">
        <v>95</v>
      </c>
      <c r="D218" s="14">
        <v>70</v>
      </c>
      <c r="E218" s="14"/>
    </row>
    <row r="219" spans="2:6" ht="25.05" customHeight="1">
      <c r="B219" s="14" t="s">
        <v>15</v>
      </c>
      <c r="C219" s="14">
        <v>75</v>
      </c>
      <c r="D219" s="14">
        <v>92</v>
      </c>
      <c r="E219" s="14"/>
    </row>
    <row r="220" spans="2:6" ht="25.05" customHeight="1">
      <c r="B220" s="14" t="s">
        <v>19</v>
      </c>
      <c r="C220" s="14">
        <v>80</v>
      </c>
      <c r="D220" s="14">
        <v>85</v>
      </c>
      <c r="E220" s="14"/>
    </row>
    <row r="221" spans="2:6" ht="25.05" customHeight="1">
      <c r="B221" s="14" t="s">
        <v>24</v>
      </c>
      <c r="C221" s="14">
        <v>94</v>
      </c>
      <c r="D221" s="14">
        <v>95</v>
      </c>
      <c r="E221" s="14"/>
    </row>
    <row r="222" spans="2:6" ht="25.05" customHeight="1">
      <c r="B222" s="14" t="s">
        <v>14</v>
      </c>
      <c r="C222" s="14">
        <v>60</v>
      </c>
      <c r="D222" s="14">
        <v>55</v>
      </c>
      <c r="E222" s="14"/>
    </row>
    <row r="223" spans="2:6" ht="25.05" customHeight="1"/>
    <row r="224" spans="2:6" ht="25.05" customHeight="1"/>
    <row r="225" spans="2:6" ht="25.05" customHeight="1" thickBot="1"/>
    <row r="226" spans="2:6" ht="25.05" customHeight="1">
      <c r="B226" s="50" t="s">
        <v>58</v>
      </c>
      <c r="C226" s="51"/>
      <c r="D226" s="51"/>
      <c r="E226" s="52"/>
    </row>
    <row r="227" spans="2:6" ht="25.05" customHeight="1" thickBot="1">
      <c r="B227" s="53"/>
      <c r="C227" s="54"/>
      <c r="D227" s="54"/>
      <c r="E227" s="55"/>
    </row>
    <row r="228" spans="2:6" ht="25.05" customHeight="1"/>
    <row r="229" spans="2:6" ht="25.05" customHeight="1"/>
    <row r="230" spans="2:6" ht="25.05" customHeight="1">
      <c r="B230" s="64" t="s">
        <v>48</v>
      </c>
      <c r="C230" s="64"/>
      <c r="D230" s="64"/>
      <c r="E230" s="64"/>
      <c r="F230" s="64"/>
    </row>
    <row r="231" spans="2:6" ht="25.05" customHeight="1">
      <c r="B231" s="64"/>
      <c r="C231" s="64"/>
      <c r="D231" s="64"/>
      <c r="E231" s="64"/>
      <c r="F231" s="64"/>
    </row>
    <row r="232" spans="2:6" ht="25.05" customHeight="1">
      <c r="B232" s="64"/>
      <c r="C232" s="64"/>
      <c r="D232" s="64"/>
      <c r="E232" s="64"/>
      <c r="F232" s="64"/>
    </row>
    <row r="233" spans="2:6" ht="25.05" customHeight="1">
      <c r="B233" s="64"/>
      <c r="C233" s="64"/>
      <c r="D233" s="64"/>
      <c r="E233" s="64"/>
      <c r="F233" s="64"/>
    </row>
    <row r="234" spans="2:6" ht="25.05" customHeight="1">
      <c r="B234" s="64"/>
      <c r="C234" s="64"/>
      <c r="D234" s="64"/>
      <c r="E234" s="64"/>
      <c r="F234" s="64"/>
    </row>
    <row r="235" spans="2:6" ht="25.05" customHeight="1"/>
    <row r="236" spans="2:6" ht="25.05" customHeight="1"/>
    <row r="237" spans="2:6" ht="25.05" customHeight="1"/>
    <row r="238" spans="2:6" ht="25.05" customHeight="1"/>
    <row r="239" spans="2:6" ht="25.05" customHeight="1">
      <c r="B239" s="16" t="s">
        <v>21</v>
      </c>
      <c r="C239" s="16" t="s">
        <v>49</v>
      </c>
      <c r="D239" s="16" t="s">
        <v>50</v>
      </c>
      <c r="E239" s="16" t="s">
        <v>11</v>
      </c>
      <c r="F239" t="str">
        <f>IF(OR(C18="Yes",D18="Yes"),"Holiday Allowed","Holiday Not Allowed")</f>
        <v>Holiday Not Allowed</v>
      </c>
    </row>
    <row r="240" spans="2:6" ht="25.05" customHeight="1">
      <c r="B240" s="14" t="s">
        <v>23</v>
      </c>
      <c r="C240" s="14" t="s">
        <v>17</v>
      </c>
      <c r="D240" s="14" t="s">
        <v>18</v>
      </c>
      <c r="E240" s="14"/>
    </row>
    <row r="241" spans="2:6" ht="25.05" customHeight="1">
      <c r="B241" s="14" t="s">
        <v>15</v>
      </c>
      <c r="C241" s="14" t="s">
        <v>18</v>
      </c>
      <c r="D241" s="14" t="s">
        <v>17</v>
      </c>
      <c r="E241" s="14"/>
    </row>
    <row r="242" spans="2:6" ht="25.05" customHeight="1">
      <c r="B242" s="14" t="s">
        <v>19</v>
      </c>
      <c r="C242" s="14" t="s">
        <v>18</v>
      </c>
      <c r="D242" s="14" t="s">
        <v>18</v>
      </c>
      <c r="E242" s="14"/>
    </row>
    <row r="243" spans="2:6" ht="25.05" customHeight="1">
      <c r="B243" s="14" t="s">
        <v>24</v>
      </c>
      <c r="C243" s="14" t="s">
        <v>17</v>
      </c>
      <c r="D243" s="14" t="s">
        <v>17</v>
      </c>
      <c r="E243" s="14"/>
    </row>
    <row r="244" spans="2:6" ht="25.05" customHeight="1">
      <c r="B244" s="14" t="s">
        <v>14</v>
      </c>
      <c r="C244" s="14" t="s">
        <v>18</v>
      </c>
      <c r="D244" s="14" t="s">
        <v>18</v>
      </c>
      <c r="E244" s="14"/>
    </row>
    <row r="245" spans="2:6" ht="25.05" customHeight="1"/>
    <row r="246" spans="2:6" ht="25.05" customHeight="1"/>
    <row r="247" spans="2:6" ht="25.05" customHeight="1" thickBot="1"/>
    <row r="248" spans="2:6" ht="25.05" customHeight="1">
      <c r="B248" s="50" t="s">
        <v>59</v>
      </c>
      <c r="C248" s="51"/>
      <c r="D248" s="51"/>
      <c r="E248" s="52"/>
    </row>
    <row r="249" spans="2:6" ht="25.05" customHeight="1" thickBot="1">
      <c r="B249" s="53"/>
      <c r="C249" s="54"/>
      <c r="D249" s="54"/>
      <c r="E249" s="55"/>
    </row>
    <row r="250" spans="2:6" ht="25.05" customHeight="1"/>
    <row r="251" spans="2:6" ht="25.05" customHeight="1"/>
    <row r="252" spans="2:6" ht="25.05" customHeight="1">
      <c r="B252" s="56" t="s">
        <v>51</v>
      </c>
      <c r="C252" s="56"/>
      <c r="D252" s="56"/>
      <c r="E252" s="56"/>
      <c r="F252" s="56"/>
    </row>
    <row r="253" spans="2:6" ht="25.05" customHeight="1">
      <c r="B253" s="56"/>
      <c r="C253" s="56"/>
      <c r="D253" s="56"/>
      <c r="E253" s="56"/>
      <c r="F253" s="56"/>
    </row>
    <row r="254" spans="2:6" ht="25.05" customHeight="1">
      <c r="B254" s="56"/>
      <c r="C254" s="56"/>
      <c r="D254" s="56"/>
      <c r="E254" s="56"/>
      <c r="F254" s="56"/>
    </row>
    <row r="255" spans="2:6" ht="25.05" customHeight="1">
      <c r="B255" s="56"/>
      <c r="C255" s="56"/>
      <c r="D255" s="56"/>
      <c r="E255" s="56"/>
      <c r="F255" s="56"/>
    </row>
    <row r="256" spans="2:6" ht="25.05" customHeight="1"/>
    <row r="257" spans="2:5" ht="25.05" customHeight="1"/>
    <row r="258" spans="2:5" ht="25.05" customHeight="1">
      <c r="B258" s="16" t="s">
        <v>21</v>
      </c>
      <c r="C258" s="16" t="s">
        <v>42</v>
      </c>
      <c r="D258" s="16" t="s">
        <v>11</v>
      </c>
      <c r="E258" t="str">
        <f>IF(NOT(C18="Yes"),"Book Not Returned","Book Returned")</f>
        <v>Book Not Returned</v>
      </c>
    </row>
    <row r="259" spans="2:5" ht="25.05" customHeight="1">
      <c r="B259" s="14" t="s">
        <v>23</v>
      </c>
      <c r="C259" s="14" t="s">
        <v>17</v>
      </c>
      <c r="D259" s="14"/>
    </row>
    <row r="260" spans="2:5" ht="25.05" customHeight="1">
      <c r="B260" s="14" t="s">
        <v>15</v>
      </c>
      <c r="C260" s="14" t="s">
        <v>18</v>
      </c>
      <c r="D260" s="14"/>
    </row>
    <row r="261" spans="2:5" ht="25.05" customHeight="1">
      <c r="B261" s="14" t="s">
        <v>19</v>
      </c>
      <c r="C261" s="14" t="s">
        <v>17</v>
      </c>
      <c r="D261" s="14"/>
    </row>
    <row r="262" spans="2:5" ht="25.05" customHeight="1">
      <c r="B262" s="14" t="s">
        <v>24</v>
      </c>
      <c r="C262" s="14" t="s">
        <v>18</v>
      </c>
      <c r="D262" s="14"/>
    </row>
    <row r="263" spans="2:5" ht="25.05" customHeight="1">
      <c r="B263" s="14" t="s">
        <v>14</v>
      </c>
      <c r="C263" s="14" t="s">
        <v>17</v>
      </c>
      <c r="D263" s="14"/>
    </row>
    <row r="264" spans="2:5" ht="25.05" customHeight="1"/>
    <row r="265" spans="2:5" ht="25.05" customHeight="1"/>
    <row r="266" spans="2:5" ht="25.05" customHeight="1"/>
    <row r="267" spans="2:5" ht="25.05" customHeight="1"/>
    <row r="268" spans="2:5" ht="25.05" customHeight="1"/>
    <row r="269" spans="2:5" ht="25.05" customHeight="1"/>
    <row r="270" spans="2:5" ht="25.05" customHeight="1"/>
    <row r="271" spans="2:5" ht="25.05" customHeight="1"/>
    <row r="272" spans="2:5" ht="25.05" customHeight="1"/>
    <row r="273" ht="25.05" customHeight="1"/>
    <row r="274" ht="25.05" customHeight="1"/>
    <row r="275" ht="25.05" customHeight="1"/>
  </sheetData>
  <mergeCells count="27">
    <mergeCell ref="B57:G58"/>
    <mergeCell ref="B19:E20"/>
    <mergeCell ref="B22:G23"/>
    <mergeCell ref="B37:E38"/>
    <mergeCell ref="B41:G42"/>
    <mergeCell ref="B53:E54"/>
    <mergeCell ref="B185:E186"/>
    <mergeCell ref="B70:E71"/>
    <mergeCell ref="B91:E92"/>
    <mergeCell ref="B115:E116"/>
    <mergeCell ref="B119:F125"/>
    <mergeCell ref="B248:E249"/>
    <mergeCell ref="B252:F255"/>
    <mergeCell ref="B75:G76"/>
    <mergeCell ref="B3:E4"/>
    <mergeCell ref="B95:D101"/>
    <mergeCell ref="B166:D172"/>
    <mergeCell ref="F187:G187"/>
    <mergeCell ref="B190:F194"/>
    <mergeCell ref="B205:E206"/>
    <mergeCell ref="B209:F213"/>
    <mergeCell ref="B226:E227"/>
    <mergeCell ref="B230:F234"/>
    <mergeCell ref="B136:E137"/>
    <mergeCell ref="B138:E138"/>
    <mergeCell ref="B141:F148"/>
    <mergeCell ref="B162:E16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53512-42C9-4FA4-80EB-83370CF93DC4}">
  <dimension ref="A3:S223"/>
  <sheetViews>
    <sheetView tabSelected="1" topLeftCell="A127" zoomScale="116" workbookViewId="0">
      <selection activeCell="F175" sqref="F175"/>
    </sheetView>
  </sheetViews>
  <sheetFormatPr defaultRowHeight="14.4"/>
  <cols>
    <col min="1" max="1" width="16.6640625" customWidth="1"/>
    <col min="2" max="2" width="14" customWidth="1"/>
    <col min="3" max="3" width="12.77734375" bestFit="1" customWidth="1"/>
    <col min="4" max="4" width="12.6640625" bestFit="1" customWidth="1"/>
    <col min="5" max="5" width="17.21875" customWidth="1"/>
    <col min="6" max="6" width="12.6640625" bestFit="1" customWidth="1"/>
    <col min="7" max="7" width="12.77734375" bestFit="1" customWidth="1"/>
    <col min="8" max="8" width="12.44140625" bestFit="1" customWidth="1"/>
    <col min="9" max="9" width="15.5546875" bestFit="1" customWidth="1"/>
    <col min="10" max="10" width="22.88671875" customWidth="1"/>
    <col min="11" max="11" width="35.44140625" customWidth="1"/>
    <col min="13" max="13" width="12.77734375" bestFit="1" customWidth="1"/>
    <col min="14" max="14" width="6.21875" bestFit="1" customWidth="1"/>
    <col min="15" max="15" width="18.6640625" customWidth="1"/>
    <col min="16" max="16" width="18.44140625" bestFit="1" customWidth="1"/>
    <col min="18" max="18" width="12.77734375" bestFit="1" customWidth="1"/>
    <col min="19" max="19" width="8.33203125" customWidth="1"/>
    <col min="20" max="20" width="19" customWidth="1"/>
  </cols>
  <sheetData>
    <row r="3" spans="1:8" ht="14.4" customHeight="1">
      <c r="A3" s="67" t="s">
        <v>71</v>
      </c>
      <c r="B3" s="68"/>
      <c r="C3" s="68"/>
      <c r="D3" s="68"/>
      <c r="E3" s="68"/>
    </row>
    <row r="4" spans="1:8" ht="14.4" customHeight="1">
      <c r="A4" s="67"/>
      <c r="B4" s="68"/>
      <c r="C4" s="68"/>
      <c r="D4" s="68"/>
      <c r="E4" s="68"/>
    </row>
    <row r="5" spans="1:8" ht="14.4" customHeight="1">
      <c r="A5" s="67"/>
      <c r="B5" s="68"/>
      <c r="C5" s="68"/>
      <c r="D5" s="68"/>
      <c r="E5" s="68"/>
    </row>
    <row r="6" spans="1:8" ht="18">
      <c r="A6" s="28"/>
    </row>
    <row r="8" spans="1:8">
      <c r="A8" s="66" t="s">
        <v>85</v>
      </c>
      <c r="B8" s="66"/>
      <c r="C8" s="66"/>
    </row>
    <row r="9" spans="1:8">
      <c r="A9" s="66"/>
      <c r="B9" s="66"/>
      <c r="C9" s="66"/>
    </row>
    <row r="12" spans="1:8">
      <c r="A12" s="34" t="s">
        <v>72</v>
      </c>
      <c r="B12" s="34" t="s">
        <v>6</v>
      </c>
      <c r="C12" s="34" t="s">
        <v>9</v>
      </c>
      <c r="D12" s="34" t="s">
        <v>7</v>
      </c>
      <c r="E12" s="34" t="s">
        <v>8</v>
      </c>
      <c r="F12" s="34" t="s">
        <v>10</v>
      </c>
      <c r="G12" s="34" t="s">
        <v>73</v>
      </c>
      <c r="H12" s="34" t="s">
        <v>11</v>
      </c>
    </row>
    <row r="13" spans="1:8">
      <c r="A13" s="9" t="s">
        <v>74</v>
      </c>
      <c r="B13" s="9" t="s">
        <v>23</v>
      </c>
      <c r="C13" s="10">
        <v>78</v>
      </c>
      <c r="D13" s="10">
        <v>85</v>
      </c>
      <c r="E13" s="10">
        <v>72</v>
      </c>
      <c r="F13" s="10"/>
      <c r="G13" s="10"/>
      <c r="H13" s="9"/>
    </row>
    <row r="14" spans="1:8">
      <c r="A14" s="9" t="s">
        <v>75</v>
      </c>
      <c r="B14" s="9" t="s">
        <v>15</v>
      </c>
      <c r="C14" s="10">
        <v>65</v>
      </c>
      <c r="D14" s="10">
        <v>58</v>
      </c>
      <c r="E14" s="10">
        <v>70</v>
      </c>
      <c r="F14" s="10"/>
      <c r="G14" s="10"/>
      <c r="H14" s="9"/>
    </row>
    <row r="15" spans="1:8">
      <c r="A15" s="9" t="s">
        <v>76</v>
      </c>
      <c r="B15" s="9" t="s">
        <v>77</v>
      </c>
      <c r="C15" s="10">
        <v>45</v>
      </c>
      <c r="D15" s="10">
        <v>52</v>
      </c>
      <c r="E15" s="10">
        <v>48</v>
      </c>
      <c r="F15" s="10"/>
      <c r="G15" s="10"/>
      <c r="H15" s="9"/>
    </row>
    <row r="16" spans="1:8">
      <c r="A16" s="9" t="s">
        <v>78</v>
      </c>
      <c r="B16" s="9" t="s">
        <v>24</v>
      </c>
      <c r="C16" s="10">
        <v>92</v>
      </c>
      <c r="D16" s="10">
        <v>88</v>
      </c>
      <c r="E16" s="10">
        <v>95</v>
      </c>
      <c r="F16" s="10"/>
      <c r="G16" s="10"/>
      <c r="H16" s="9"/>
    </row>
    <row r="17" spans="1:8">
      <c r="A17" s="9" t="s">
        <v>79</v>
      </c>
      <c r="B17" s="9" t="s">
        <v>14</v>
      </c>
      <c r="C17" s="10">
        <v>35</v>
      </c>
      <c r="D17" s="10">
        <v>42</v>
      </c>
      <c r="E17" s="10">
        <v>39</v>
      </c>
      <c r="F17" s="10"/>
      <c r="G17" s="10"/>
      <c r="H17" s="9"/>
    </row>
    <row r="18" spans="1:8">
      <c r="A18" s="9" t="s">
        <v>80</v>
      </c>
      <c r="B18" s="9" t="s">
        <v>81</v>
      </c>
      <c r="C18" s="10">
        <v>81</v>
      </c>
      <c r="D18" s="10">
        <v>76</v>
      </c>
      <c r="E18" s="10">
        <v>84</v>
      </c>
      <c r="F18" s="10"/>
      <c r="G18" s="10"/>
      <c r="H18" s="9"/>
    </row>
    <row r="19" spans="1:8">
      <c r="A19" s="9" t="s">
        <v>82</v>
      </c>
      <c r="B19" s="9" t="s">
        <v>12</v>
      </c>
      <c r="C19" s="10">
        <v>55</v>
      </c>
      <c r="D19" s="10">
        <v>63</v>
      </c>
      <c r="E19" s="10">
        <v>59</v>
      </c>
      <c r="F19" s="10"/>
      <c r="G19" s="10"/>
      <c r="H19" s="9"/>
    </row>
    <row r="20" spans="1:8">
      <c r="A20" s="9" t="s">
        <v>83</v>
      </c>
      <c r="B20" s="9" t="s">
        <v>84</v>
      </c>
      <c r="C20" s="10">
        <v>28</v>
      </c>
      <c r="D20" s="10">
        <v>35</v>
      </c>
      <c r="E20" s="10">
        <v>31</v>
      </c>
      <c r="F20" s="10"/>
      <c r="G20" s="10"/>
      <c r="H20" s="9"/>
    </row>
    <row r="24" spans="1:8" ht="14.4" customHeight="1">
      <c r="A24" s="67" t="s">
        <v>86</v>
      </c>
      <c r="B24" s="68"/>
      <c r="C24" s="68"/>
      <c r="D24" s="68"/>
      <c r="E24" s="68"/>
    </row>
    <row r="25" spans="1:8">
      <c r="A25" s="67"/>
      <c r="B25" s="68"/>
      <c r="C25" s="68"/>
      <c r="D25" s="68"/>
      <c r="E25" s="68"/>
    </row>
    <row r="26" spans="1:8" ht="14.4" customHeight="1">
      <c r="A26" s="67"/>
      <c r="B26" s="68"/>
      <c r="C26" s="68"/>
      <c r="D26" s="68"/>
      <c r="E26" s="68"/>
    </row>
    <row r="29" spans="1:8">
      <c r="A29" s="69" t="s">
        <v>102</v>
      </c>
      <c r="B29" s="70"/>
      <c r="C29" s="70"/>
      <c r="D29" s="70"/>
      <c r="E29" s="70"/>
    </row>
    <row r="30" spans="1:8">
      <c r="A30" s="69"/>
      <c r="B30" s="70"/>
      <c r="C30" s="70"/>
      <c r="D30" s="70"/>
      <c r="E30" s="70"/>
    </row>
    <row r="32" spans="1:8">
      <c r="A32" s="34" t="s">
        <v>87</v>
      </c>
      <c r="B32" s="34" t="s">
        <v>88</v>
      </c>
      <c r="C32" s="34" t="s">
        <v>89</v>
      </c>
      <c r="D32" s="34" t="s">
        <v>90</v>
      </c>
      <c r="E32" s="34" t="s">
        <v>91</v>
      </c>
      <c r="F32" s="34" t="s">
        <v>92</v>
      </c>
      <c r="G32" s="34" t="s">
        <v>93</v>
      </c>
      <c r="H32" s="34" t="s">
        <v>94</v>
      </c>
    </row>
    <row r="33" spans="1:8">
      <c r="A33" s="9" t="s">
        <v>95</v>
      </c>
      <c r="B33" s="9" t="s">
        <v>23</v>
      </c>
      <c r="C33" s="10">
        <v>45000</v>
      </c>
      <c r="D33" s="10">
        <v>52000</v>
      </c>
      <c r="E33" s="10">
        <v>48000</v>
      </c>
      <c r="F33" s="10"/>
      <c r="G33" s="10"/>
      <c r="H33" s="9"/>
    </row>
    <row r="34" spans="1:8">
      <c r="A34" s="9" t="s">
        <v>96</v>
      </c>
      <c r="B34" s="9" t="s">
        <v>15</v>
      </c>
      <c r="C34" s="10">
        <v>38000</v>
      </c>
      <c r="D34" s="10">
        <v>42000</v>
      </c>
      <c r="E34" s="10">
        <v>40000</v>
      </c>
      <c r="F34" s="10"/>
      <c r="G34" s="10"/>
      <c r="H34" s="9"/>
    </row>
    <row r="35" spans="1:8">
      <c r="A35" s="9" t="s">
        <v>97</v>
      </c>
      <c r="B35" s="9" t="s">
        <v>77</v>
      </c>
      <c r="C35" s="10">
        <v>62000</v>
      </c>
      <c r="D35" s="10">
        <v>58000</v>
      </c>
      <c r="E35" s="10">
        <v>65000</v>
      </c>
      <c r="F35" s="10"/>
      <c r="G35" s="10"/>
      <c r="H35" s="9"/>
    </row>
    <row r="36" spans="1:8">
      <c r="A36" s="9" t="s">
        <v>98</v>
      </c>
      <c r="B36" s="9" t="s">
        <v>99</v>
      </c>
      <c r="C36" s="10">
        <v>30000</v>
      </c>
      <c r="D36" s="10">
        <v>35000</v>
      </c>
      <c r="E36" s="10">
        <v>32000</v>
      </c>
      <c r="F36" s="10"/>
      <c r="G36" s="10"/>
      <c r="H36" s="9"/>
    </row>
    <row r="37" spans="1:8">
      <c r="A37" s="9" t="s">
        <v>100</v>
      </c>
      <c r="B37" s="9" t="s">
        <v>14</v>
      </c>
      <c r="C37" s="10">
        <v>55000</v>
      </c>
      <c r="D37" s="10">
        <v>60000</v>
      </c>
      <c r="E37" s="10">
        <v>57000</v>
      </c>
      <c r="F37" s="10"/>
      <c r="G37" s="10"/>
      <c r="H37" s="9"/>
    </row>
    <row r="38" spans="1:8">
      <c r="A38" s="9" t="s">
        <v>101</v>
      </c>
      <c r="B38" s="9" t="s">
        <v>81</v>
      </c>
      <c r="C38" s="10">
        <v>42000</v>
      </c>
      <c r="D38" s="10">
        <v>45000</v>
      </c>
      <c r="E38" s="10">
        <v>47000</v>
      </c>
      <c r="F38" s="10"/>
      <c r="G38" s="10"/>
      <c r="H38" s="9"/>
    </row>
    <row r="41" spans="1:8">
      <c r="A41" s="67" t="s">
        <v>103</v>
      </c>
      <c r="B41" s="68"/>
      <c r="C41" s="68"/>
      <c r="D41" s="68"/>
      <c r="E41" s="68"/>
    </row>
    <row r="42" spans="1:8">
      <c r="A42" s="67"/>
      <c r="B42" s="68"/>
      <c r="C42" s="68"/>
      <c r="D42" s="68"/>
      <c r="E42" s="68"/>
    </row>
    <row r="43" spans="1:8">
      <c r="A43" s="67"/>
      <c r="B43" s="68"/>
      <c r="C43" s="68"/>
      <c r="D43" s="68"/>
      <c r="E43" s="68"/>
    </row>
    <row r="45" spans="1:8">
      <c r="A45" s="69" t="s">
        <v>116</v>
      </c>
      <c r="B45" s="70"/>
      <c r="C45" s="70"/>
      <c r="D45" s="70"/>
      <c r="E45" s="70"/>
    </row>
    <row r="46" spans="1:8">
      <c r="A46" s="69"/>
      <c r="B46" s="70"/>
      <c r="C46" s="70"/>
      <c r="D46" s="70"/>
      <c r="E46" s="70"/>
    </row>
    <row r="48" spans="1:8">
      <c r="A48" s="34" t="s">
        <v>104</v>
      </c>
      <c r="B48" s="34" t="s">
        <v>105</v>
      </c>
      <c r="C48" s="34" t="s">
        <v>106</v>
      </c>
      <c r="D48" s="34" t="s">
        <v>107</v>
      </c>
      <c r="E48" s="34" t="s">
        <v>108</v>
      </c>
      <c r="F48" s="34" t="s">
        <v>10</v>
      </c>
      <c r="G48" s="34" t="s">
        <v>73</v>
      </c>
      <c r="H48" s="34" t="s">
        <v>109</v>
      </c>
    </row>
    <row r="49" spans="1:8">
      <c r="A49" s="9" t="s">
        <v>110</v>
      </c>
      <c r="B49" s="9">
        <v>120</v>
      </c>
      <c r="C49" s="10">
        <v>150</v>
      </c>
      <c r="D49" s="10">
        <v>135</v>
      </c>
      <c r="E49" s="10">
        <v>160</v>
      </c>
      <c r="F49" s="10"/>
      <c r="G49" s="10"/>
      <c r="H49" s="9"/>
    </row>
    <row r="50" spans="1:8">
      <c r="A50" s="9" t="s">
        <v>111</v>
      </c>
      <c r="B50" s="9">
        <v>180</v>
      </c>
      <c r="C50" s="10">
        <v>175</v>
      </c>
      <c r="D50" s="10">
        <v>190</v>
      </c>
      <c r="E50" s="10">
        <v>200</v>
      </c>
      <c r="F50" s="10"/>
      <c r="G50" s="10"/>
      <c r="H50" s="9"/>
    </row>
    <row r="51" spans="1:8">
      <c r="A51" s="9" t="s">
        <v>112</v>
      </c>
      <c r="B51" s="9">
        <v>90</v>
      </c>
      <c r="C51" s="10">
        <v>110</v>
      </c>
      <c r="D51" s="10">
        <v>105</v>
      </c>
      <c r="E51" s="10">
        <v>95</v>
      </c>
      <c r="F51" s="10"/>
      <c r="G51" s="10"/>
      <c r="H51" s="9"/>
    </row>
    <row r="52" spans="1:8">
      <c r="A52" s="9" t="s">
        <v>113</v>
      </c>
      <c r="B52" s="9">
        <v>145</v>
      </c>
      <c r="C52" s="10">
        <v>130</v>
      </c>
      <c r="D52" s="10">
        <v>155</v>
      </c>
      <c r="E52" s="10">
        <v>150</v>
      </c>
      <c r="F52" s="10"/>
      <c r="G52" s="10"/>
      <c r="H52" s="9"/>
    </row>
    <row r="53" spans="1:8">
      <c r="A53" s="9" t="s">
        <v>114</v>
      </c>
      <c r="B53" s="9">
        <v>80</v>
      </c>
      <c r="C53" s="10">
        <v>95</v>
      </c>
      <c r="D53" s="10">
        <v>85</v>
      </c>
      <c r="E53" s="10">
        <v>90</v>
      </c>
      <c r="F53" s="10"/>
      <c r="G53" s="10"/>
      <c r="H53" s="9"/>
    </row>
    <row r="54" spans="1:8">
      <c r="A54" s="9" t="s">
        <v>115</v>
      </c>
      <c r="B54" s="9">
        <v>160</v>
      </c>
      <c r="C54" s="10">
        <v>155</v>
      </c>
      <c r="D54" s="10">
        <v>170</v>
      </c>
      <c r="E54" s="10">
        <v>180</v>
      </c>
      <c r="F54" s="10"/>
      <c r="G54" s="10"/>
      <c r="H54" s="9"/>
    </row>
    <row r="58" spans="1:8">
      <c r="A58" s="71" t="s">
        <v>158</v>
      </c>
      <c r="B58" s="72"/>
      <c r="C58" s="72"/>
      <c r="D58" s="72"/>
      <c r="E58" s="72"/>
    </row>
    <row r="59" spans="1:8">
      <c r="A59" s="71"/>
      <c r="B59" s="72"/>
      <c r="C59" s="72"/>
      <c r="D59" s="72"/>
      <c r="E59" s="72"/>
    </row>
    <row r="60" spans="1:8">
      <c r="A60" s="71"/>
      <c r="B60" s="72"/>
      <c r="C60" s="72"/>
      <c r="D60" s="72"/>
      <c r="E60" s="72"/>
    </row>
    <row r="63" spans="1:8">
      <c r="A63" s="69" t="s">
        <v>123</v>
      </c>
      <c r="B63" s="70"/>
      <c r="C63" s="70"/>
      <c r="D63" s="70"/>
      <c r="E63" s="70"/>
    </row>
    <row r="64" spans="1:8">
      <c r="A64" s="69"/>
      <c r="B64" s="70"/>
      <c r="C64" s="70"/>
      <c r="D64" s="70"/>
      <c r="E64" s="70"/>
    </row>
    <row r="66" spans="1:9">
      <c r="A66" s="34" t="s">
        <v>1</v>
      </c>
      <c r="B66" s="34" t="s">
        <v>2</v>
      </c>
      <c r="C66" s="34" t="s">
        <v>3</v>
      </c>
      <c r="D66" s="34" t="s">
        <v>4</v>
      </c>
      <c r="E66" s="34" t="s">
        <v>0</v>
      </c>
      <c r="F66" s="34" t="s">
        <v>120</v>
      </c>
      <c r="G66" s="34" t="s">
        <v>5</v>
      </c>
      <c r="H66" s="34" t="s">
        <v>121</v>
      </c>
      <c r="I66" s="34" t="s">
        <v>122</v>
      </c>
    </row>
    <row r="67" spans="1:9">
      <c r="A67" s="9" t="s">
        <v>23</v>
      </c>
      <c r="B67" s="9">
        <v>25000</v>
      </c>
      <c r="C67" s="10">
        <v>20000</v>
      </c>
      <c r="D67" s="10"/>
      <c r="E67" s="36">
        <v>46336</v>
      </c>
      <c r="F67" s="36">
        <v>46334</v>
      </c>
      <c r="G67" s="10"/>
      <c r="H67" s="9"/>
      <c r="I67" s="9"/>
    </row>
    <row r="68" spans="1:9">
      <c r="A68" s="9" t="s">
        <v>15</v>
      </c>
      <c r="B68" s="9">
        <v>36000</v>
      </c>
      <c r="C68" s="10">
        <v>35000</v>
      </c>
      <c r="D68" s="10"/>
      <c r="E68" s="36">
        <v>46338</v>
      </c>
      <c r="F68" s="36">
        <v>46341</v>
      </c>
      <c r="G68" s="10"/>
      <c r="H68" s="9"/>
      <c r="I68" s="9"/>
    </row>
    <row r="69" spans="1:9">
      <c r="A69" s="9" t="s">
        <v>77</v>
      </c>
      <c r="B69" s="9">
        <v>45000</v>
      </c>
      <c r="C69" s="10">
        <v>30000</v>
      </c>
      <c r="D69" s="10"/>
      <c r="E69" s="36">
        <v>46341</v>
      </c>
      <c r="F69" s="36">
        <v>46346</v>
      </c>
      <c r="G69" s="10"/>
      <c r="H69" s="9"/>
      <c r="I69" s="9"/>
    </row>
    <row r="70" spans="1:9">
      <c r="A70" s="9" t="s">
        <v>24</v>
      </c>
      <c r="B70" s="9">
        <v>28000</v>
      </c>
      <c r="C70" s="10">
        <v>28000</v>
      </c>
      <c r="D70" s="10"/>
      <c r="E70" s="36">
        <v>46344</v>
      </c>
      <c r="F70" s="36">
        <v>46344</v>
      </c>
      <c r="G70" s="10"/>
      <c r="H70" s="9"/>
      <c r="I70" s="9"/>
    </row>
    <row r="71" spans="1:9">
      <c r="A71" s="9" t="s">
        <v>14</v>
      </c>
      <c r="B71" s="9">
        <v>52000</v>
      </c>
      <c r="C71" s="10">
        <v>40000</v>
      </c>
      <c r="D71" s="10"/>
      <c r="E71" s="36">
        <v>46346</v>
      </c>
      <c r="F71" s="36">
        <v>46351</v>
      </c>
      <c r="G71" s="10"/>
      <c r="H71" s="9"/>
      <c r="I71" s="9"/>
    </row>
    <row r="72" spans="1:9">
      <c r="A72" s="9" t="s">
        <v>81</v>
      </c>
      <c r="B72" s="9">
        <v>32000</v>
      </c>
      <c r="C72" s="10">
        <v>25000</v>
      </c>
      <c r="D72" s="10"/>
      <c r="E72" s="36">
        <v>46348</v>
      </c>
      <c r="F72" s="36">
        <v>46347</v>
      </c>
      <c r="G72" s="10"/>
      <c r="H72" s="9"/>
      <c r="I72" s="9"/>
    </row>
    <row r="73" spans="1:9">
      <c r="A73" s="9" t="s">
        <v>12</v>
      </c>
      <c r="B73" s="9">
        <v>60000</v>
      </c>
      <c r="C73" s="10">
        <v>50000</v>
      </c>
      <c r="D73" s="10"/>
      <c r="E73" s="36">
        <v>46351</v>
      </c>
      <c r="F73" s="36">
        <v>46356</v>
      </c>
      <c r="G73" s="10"/>
      <c r="H73" s="9"/>
      <c r="I73" s="9"/>
    </row>
    <row r="74" spans="1:9">
      <c r="A74" s="9" t="s">
        <v>84</v>
      </c>
      <c r="B74" s="9">
        <v>18000</v>
      </c>
      <c r="C74" s="10">
        <v>18000</v>
      </c>
      <c r="D74" s="10"/>
      <c r="E74" s="36">
        <v>46354</v>
      </c>
      <c r="F74" s="36">
        <v>46354</v>
      </c>
      <c r="G74" s="10"/>
      <c r="H74" s="9"/>
      <c r="I74" s="9"/>
    </row>
    <row r="78" spans="1:9">
      <c r="A78" s="71" t="s">
        <v>159</v>
      </c>
      <c r="B78" s="72"/>
      <c r="C78" s="72"/>
      <c r="D78" s="72"/>
      <c r="E78" s="72"/>
    </row>
    <row r="79" spans="1:9">
      <c r="A79" s="71"/>
      <c r="B79" s="72"/>
      <c r="C79" s="72"/>
      <c r="D79" s="72"/>
      <c r="E79" s="72"/>
    </row>
    <row r="80" spans="1:9">
      <c r="A80" s="71"/>
      <c r="B80" s="72"/>
      <c r="C80" s="72"/>
      <c r="D80" s="72"/>
      <c r="E80" s="72"/>
    </row>
    <row r="82" spans="1:9">
      <c r="A82" t="s">
        <v>128</v>
      </c>
    </row>
    <row r="83" spans="1:9" ht="18">
      <c r="A83" s="28" t="s">
        <v>126</v>
      </c>
    </row>
    <row r="85" spans="1:9">
      <c r="A85" t="s">
        <v>129</v>
      </c>
    </row>
    <row r="86" spans="1:9">
      <c r="A86" s="34" t="s">
        <v>88</v>
      </c>
      <c r="B86" s="34" t="s">
        <v>124</v>
      </c>
      <c r="C86" s="34" t="s">
        <v>117</v>
      </c>
      <c r="D86" s="34" t="s">
        <v>118</v>
      </c>
      <c r="E86" s="34" t="s">
        <v>125</v>
      </c>
      <c r="F86" s="34" t="s">
        <v>22</v>
      </c>
      <c r="G86" s="34" t="s">
        <v>5</v>
      </c>
      <c r="H86" s="34" t="s">
        <v>126</v>
      </c>
      <c r="I86" s="34" t="s">
        <v>127</v>
      </c>
    </row>
    <row r="87" spans="1:9">
      <c r="A87" s="9" t="s">
        <v>23</v>
      </c>
      <c r="B87" s="9">
        <v>30000</v>
      </c>
      <c r="C87" s="10">
        <v>26</v>
      </c>
      <c r="D87" s="10">
        <v>25</v>
      </c>
      <c r="E87" s="36"/>
      <c r="F87" s="36"/>
      <c r="G87" s="10"/>
      <c r="H87" s="9"/>
      <c r="I87" s="9"/>
    </row>
    <row r="88" spans="1:9">
      <c r="A88" s="9" t="s">
        <v>15</v>
      </c>
      <c r="B88" s="9">
        <v>35000</v>
      </c>
      <c r="C88" s="10">
        <v>26</v>
      </c>
      <c r="D88" s="10">
        <v>23</v>
      </c>
      <c r="E88" s="36"/>
      <c r="F88" s="36"/>
      <c r="G88" s="10"/>
      <c r="H88" s="9"/>
      <c r="I88" s="9"/>
    </row>
    <row r="89" spans="1:9">
      <c r="A89" s="9" t="s">
        <v>77</v>
      </c>
      <c r="B89" s="9">
        <v>40000</v>
      </c>
      <c r="C89" s="10">
        <v>26</v>
      </c>
      <c r="D89" s="10">
        <v>20</v>
      </c>
      <c r="E89" s="36"/>
      <c r="F89" s="36"/>
      <c r="G89" s="10"/>
      <c r="H89" s="9"/>
      <c r="I89" s="9"/>
    </row>
    <row r="90" spans="1:9">
      <c r="A90" s="9" t="s">
        <v>24</v>
      </c>
      <c r="B90" s="9">
        <v>32000</v>
      </c>
      <c r="C90" s="10">
        <v>26</v>
      </c>
      <c r="D90" s="10">
        <v>26</v>
      </c>
      <c r="E90" s="36"/>
      <c r="F90" s="36"/>
      <c r="G90" s="10"/>
      <c r="H90" s="9"/>
      <c r="I90" s="9"/>
    </row>
    <row r="91" spans="1:9">
      <c r="A91" s="9" t="s">
        <v>14</v>
      </c>
      <c r="B91" s="9">
        <v>45000</v>
      </c>
      <c r="C91" s="10">
        <v>26</v>
      </c>
      <c r="D91" s="10">
        <v>22</v>
      </c>
      <c r="E91" s="36"/>
      <c r="F91" s="36"/>
      <c r="G91" s="10"/>
      <c r="H91" s="9"/>
      <c r="I91" s="9"/>
    </row>
    <row r="92" spans="1:9">
      <c r="A92" s="9" t="s">
        <v>81</v>
      </c>
      <c r="B92" s="9">
        <v>28000</v>
      </c>
      <c r="C92" s="10">
        <v>26</v>
      </c>
      <c r="D92" s="10">
        <v>24</v>
      </c>
      <c r="E92" s="36"/>
      <c r="F92" s="36"/>
      <c r="G92" s="10"/>
      <c r="H92" s="9"/>
      <c r="I92" s="9"/>
    </row>
    <row r="93" spans="1:9">
      <c r="A93" s="9" t="s">
        <v>12</v>
      </c>
      <c r="B93" s="9">
        <v>38000</v>
      </c>
      <c r="C93" s="10">
        <v>26</v>
      </c>
      <c r="D93" s="10">
        <v>19</v>
      </c>
      <c r="E93" s="36"/>
      <c r="F93" s="36"/>
      <c r="G93" s="10"/>
      <c r="H93" s="9"/>
      <c r="I93" s="9"/>
    </row>
    <row r="94" spans="1:9">
      <c r="A94" s="9" t="s">
        <v>84</v>
      </c>
      <c r="B94" s="9">
        <v>42000</v>
      </c>
      <c r="C94" s="10">
        <v>26</v>
      </c>
      <c r="D94" s="10">
        <v>25</v>
      </c>
      <c r="E94" s="36"/>
      <c r="F94" s="36"/>
      <c r="G94" s="10"/>
      <c r="H94" s="9"/>
      <c r="I94" s="9"/>
    </row>
    <row r="98" spans="1:19">
      <c r="A98" s="71" t="s">
        <v>160</v>
      </c>
      <c r="B98" s="72"/>
      <c r="C98" s="72"/>
      <c r="D98" s="72"/>
      <c r="E98" s="72"/>
    </row>
    <row r="99" spans="1:19">
      <c r="A99" s="71"/>
      <c r="B99" s="72"/>
      <c r="C99" s="72"/>
      <c r="D99" s="72"/>
      <c r="E99" s="72"/>
    </row>
    <row r="100" spans="1:19">
      <c r="A100" s="71"/>
      <c r="B100" s="72"/>
      <c r="C100" s="72"/>
      <c r="D100" s="72"/>
      <c r="E100" s="72"/>
    </row>
    <row r="102" spans="1:19" ht="28.8" customHeight="1">
      <c r="A102" s="34" t="s">
        <v>104</v>
      </c>
      <c r="B102" s="34" t="s">
        <v>130</v>
      </c>
      <c r="C102" s="34" t="s">
        <v>131</v>
      </c>
      <c r="D102" s="34" t="s">
        <v>132</v>
      </c>
      <c r="E102" s="34" t="s">
        <v>133</v>
      </c>
      <c r="F102" s="34" t="s">
        <v>134</v>
      </c>
      <c r="G102" s="34" t="s">
        <v>135</v>
      </c>
      <c r="H102" s="34" t="s">
        <v>136</v>
      </c>
      <c r="J102" s="78" t="s">
        <v>146</v>
      </c>
      <c r="K102" s="79"/>
      <c r="N102" s="39" t="s">
        <v>182</v>
      </c>
      <c r="O102" s="39" t="s">
        <v>198</v>
      </c>
      <c r="P102" s="76" t="s">
        <v>199</v>
      </c>
      <c r="Q102" s="76"/>
      <c r="R102" s="76"/>
      <c r="S102" s="76"/>
    </row>
    <row r="103" spans="1:19">
      <c r="A103" s="9" t="s">
        <v>111</v>
      </c>
      <c r="B103" s="9" t="s">
        <v>137</v>
      </c>
      <c r="C103" s="10">
        <v>10</v>
      </c>
      <c r="D103" s="10">
        <v>100</v>
      </c>
      <c r="E103" s="36"/>
      <c r="F103" s="36"/>
      <c r="G103" s="10"/>
      <c r="H103" s="9"/>
      <c r="J103" s="37"/>
      <c r="K103" s="37"/>
      <c r="N103" s="40" t="s">
        <v>193</v>
      </c>
      <c r="O103" s="40" t="s">
        <v>203</v>
      </c>
      <c r="P103" s="77" t="s">
        <v>190</v>
      </c>
      <c r="Q103" s="77"/>
      <c r="R103" s="77"/>
      <c r="S103" s="77"/>
    </row>
    <row r="104" spans="1:19">
      <c r="A104" s="9" t="s">
        <v>138</v>
      </c>
      <c r="B104" s="9" t="s">
        <v>139</v>
      </c>
      <c r="C104" s="10">
        <v>20</v>
      </c>
      <c r="D104" s="10">
        <v>50</v>
      </c>
      <c r="E104" s="36"/>
      <c r="F104" s="36"/>
      <c r="G104" s="10"/>
      <c r="H104" s="9"/>
      <c r="J104" s="32" t="s">
        <v>130</v>
      </c>
      <c r="K104" s="32" t="s">
        <v>147</v>
      </c>
      <c r="N104" s="40" t="s">
        <v>194</v>
      </c>
      <c r="O104" s="40" t="s">
        <v>204</v>
      </c>
      <c r="P104" s="77" t="s">
        <v>191</v>
      </c>
      <c r="Q104" s="77"/>
      <c r="R104" s="77"/>
      <c r="S104" s="77"/>
    </row>
    <row r="105" spans="1:19">
      <c r="A105" s="9" t="s">
        <v>112</v>
      </c>
      <c r="B105" s="9" t="s">
        <v>137</v>
      </c>
      <c r="C105" s="10">
        <v>5</v>
      </c>
      <c r="D105" s="10">
        <v>250</v>
      </c>
      <c r="E105" s="36"/>
      <c r="F105" s="36"/>
      <c r="G105" s="10"/>
      <c r="H105" s="9"/>
      <c r="J105" s="33" t="s">
        <v>137</v>
      </c>
      <c r="K105" s="38">
        <v>0.18</v>
      </c>
      <c r="N105" s="40" t="s">
        <v>201</v>
      </c>
      <c r="O105" s="40" t="s">
        <v>205</v>
      </c>
      <c r="P105" s="77" t="s">
        <v>192</v>
      </c>
      <c r="Q105" s="77"/>
      <c r="R105" s="77"/>
      <c r="S105" s="77"/>
    </row>
    <row r="106" spans="1:19">
      <c r="A106" s="9" t="s">
        <v>140</v>
      </c>
      <c r="B106" s="9" t="s">
        <v>139</v>
      </c>
      <c r="C106" s="10">
        <v>30</v>
      </c>
      <c r="D106" s="10">
        <v>20</v>
      </c>
      <c r="E106" s="36"/>
      <c r="F106" s="36"/>
      <c r="G106" s="10"/>
      <c r="H106" s="9"/>
      <c r="J106" s="33" t="s">
        <v>139</v>
      </c>
      <c r="K106" s="38">
        <v>0.12</v>
      </c>
      <c r="N106" s="40" t="s">
        <v>206</v>
      </c>
      <c r="O106" s="40" t="s">
        <v>202</v>
      </c>
      <c r="P106" s="76" t="s">
        <v>207</v>
      </c>
      <c r="Q106" s="76"/>
      <c r="R106" s="76"/>
      <c r="S106" s="76"/>
    </row>
    <row r="107" spans="1:19">
      <c r="A107" s="9" t="s">
        <v>110</v>
      </c>
      <c r="B107" s="9" t="s">
        <v>141</v>
      </c>
      <c r="C107" s="10">
        <v>8</v>
      </c>
      <c r="D107" s="10">
        <v>300</v>
      </c>
      <c r="E107" s="36"/>
      <c r="F107" s="36"/>
      <c r="G107" s="10"/>
      <c r="H107" s="9"/>
      <c r="J107" s="33" t="s">
        <v>141</v>
      </c>
      <c r="K107" s="38">
        <v>0.18</v>
      </c>
    </row>
    <row r="108" spans="1:19">
      <c r="A108" s="9" t="s">
        <v>142</v>
      </c>
      <c r="B108" s="9" t="s">
        <v>143</v>
      </c>
      <c r="C108" s="10">
        <v>4</v>
      </c>
      <c r="D108" s="10">
        <v>800</v>
      </c>
      <c r="E108" s="36"/>
      <c r="F108" s="36"/>
      <c r="G108" s="10"/>
      <c r="H108" s="9"/>
      <c r="J108" s="33" t="s">
        <v>143</v>
      </c>
      <c r="K108" s="38">
        <v>0.05</v>
      </c>
    </row>
    <row r="109" spans="1:19">
      <c r="A109" s="9" t="s">
        <v>144</v>
      </c>
      <c r="B109" s="9" t="s">
        <v>141</v>
      </c>
      <c r="C109" s="10">
        <v>6</v>
      </c>
      <c r="D109" s="10">
        <v>200</v>
      </c>
      <c r="E109" s="36"/>
      <c r="F109" s="36"/>
      <c r="G109" s="10"/>
      <c r="H109" s="9"/>
      <c r="R109" s="27"/>
    </row>
    <row r="110" spans="1:19">
      <c r="A110" s="9" t="s">
        <v>145</v>
      </c>
      <c r="B110" s="9" t="s">
        <v>143</v>
      </c>
      <c r="C110" s="10">
        <v>10</v>
      </c>
      <c r="D110" s="10">
        <v>150</v>
      </c>
      <c r="E110" s="36"/>
      <c r="F110" s="36"/>
      <c r="G110" s="10"/>
      <c r="H110" s="9"/>
      <c r="R110" s="30"/>
    </row>
    <row r="112" spans="1:19" ht="18">
      <c r="R112" s="28"/>
    </row>
    <row r="113" spans="1:18">
      <c r="R113" s="27"/>
    </row>
    <row r="114" spans="1:18">
      <c r="A114" s="71" t="s">
        <v>161</v>
      </c>
      <c r="B114" s="72"/>
      <c r="C114" s="72"/>
      <c r="D114" s="72"/>
      <c r="E114" s="72"/>
      <c r="R114" s="30"/>
    </row>
    <row r="115" spans="1:18">
      <c r="A115" s="71"/>
      <c r="B115" s="72"/>
      <c r="C115" s="72"/>
      <c r="D115" s="72"/>
      <c r="E115" s="72"/>
    </row>
    <row r="116" spans="1:18" ht="18">
      <c r="A116" s="71"/>
      <c r="B116" s="72"/>
      <c r="C116" s="72"/>
      <c r="D116" s="72"/>
      <c r="E116" s="72"/>
      <c r="R116" s="28"/>
    </row>
    <row r="119" spans="1:18">
      <c r="R119" s="27"/>
    </row>
    <row r="120" spans="1:18">
      <c r="A120" s="73" t="s">
        <v>148</v>
      </c>
      <c r="B120" s="74"/>
      <c r="C120" s="74"/>
      <c r="D120" s="74"/>
      <c r="E120" s="74"/>
      <c r="R120" s="30"/>
    </row>
    <row r="121" spans="1:18">
      <c r="A121" s="73"/>
      <c r="B121" s="74"/>
      <c r="C121" s="74"/>
      <c r="D121" s="74"/>
      <c r="E121" s="74"/>
      <c r="R121" s="30"/>
    </row>
    <row r="123" spans="1:18" ht="28.8" customHeight="1">
      <c r="A123" s="34" t="s">
        <v>88</v>
      </c>
      <c r="B123" s="34" t="s">
        <v>119</v>
      </c>
      <c r="C123" s="34" t="s">
        <v>149</v>
      </c>
      <c r="D123" s="34" t="s">
        <v>150</v>
      </c>
      <c r="E123" s="34" t="s">
        <v>151</v>
      </c>
      <c r="H123" s="39" t="s">
        <v>182</v>
      </c>
      <c r="I123" s="39" t="s">
        <v>198</v>
      </c>
      <c r="J123" s="81" t="s">
        <v>199</v>
      </c>
      <c r="K123" s="82"/>
    </row>
    <row r="124" spans="1:18" ht="26.4" customHeight="1">
      <c r="A124" s="9" t="s">
        <v>23</v>
      </c>
      <c r="B124" s="9">
        <v>18000</v>
      </c>
      <c r="C124" s="10" t="s">
        <v>17</v>
      </c>
      <c r="D124" s="10"/>
      <c r="E124" s="36"/>
      <c r="H124" s="49" t="s">
        <v>193</v>
      </c>
      <c r="I124" s="49" t="s">
        <v>200</v>
      </c>
      <c r="J124" s="80" t="s">
        <v>197</v>
      </c>
      <c r="K124" s="80"/>
    </row>
    <row r="125" spans="1:18">
      <c r="A125" s="9" t="s">
        <v>15</v>
      </c>
      <c r="B125" s="9">
        <v>25000</v>
      </c>
      <c r="C125" s="10" t="s">
        <v>17</v>
      </c>
      <c r="D125" s="10"/>
      <c r="E125" s="36"/>
      <c r="H125" s="49" t="s">
        <v>194</v>
      </c>
      <c r="I125" s="49" t="s">
        <v>150</v>
      </c>
      <c r="J125" s="80" t="s">
        <v>196</v>
      </c>
      <c r="K125" s="80"/>
    </row>
    <row r="126" spans="1:18">
      <c r="A126" s="9" t="s">
        <v>77</v>
      </c>
      <c r="B126" s="9">
        <v>12000</v>
      </c>
      <c r="C126" s="10" t="s">
        <v>18</v>
      </c>
      <c r="D126" s="10"/>
      <c r="E126" s="36"/>
      <c r="H126" s="49" t="s">
        <v>201</v>
      </c>
      <c r="I126" s="49" t="s">
        <v>151</v>
      </c>
      <c r="J126" s="80" t="s">
        <v>192</v>
      </c>
      <c r="K126" s="80"/>
    </row>
    <row r="127" spans="1:18" ht="18">
      <c r="A127" s="9" t="s">
        <v>24</v>
      </c>
      <c r="B127" s="9">
        <v>30000</v>
      </c>
      <c r="C127" s="10" t="s">
        <v>17</v>
      </c>
      <c r="D127" s="10"/>
      <c r="E127" s="36"/>
      <c r="I127" s="28"/>
    </row>
    <row r="128" spans="1:18">
      <c r="A128" s="9" t="s">
        <v>14</v>
      </c>
      <c r="B128" s="9">
        <v>15000</v>
      </c>
      <c r="C128" s="10" t="s">
        <v>17</v>
      </c>
      <c r="D128" s="10"/>
      <c r="E128" s="36"/>
    </row>
    <row r="129" spans="1:9">
      <c r="A129" s="9" t="s">
        <v>81</v>
      </c>
      <c r="B129" s="9">
        <v>22000</v>
      </c>
      <c r="C129" s="10" t="s">
        <v>18</v>
      </c>
      <c r="D129" s="10"/>
      <c r="E129" s="36"/>
    </row>
    <row r="130" spans="1:9">
      <c r="A130" s="9" t="s">
        <v>12</v>
      </c>
      <c r="B130" s="9">
        <v>28000</v>
      </c>
      <c r="C130" s="10" t="s">
        <v>17</v>
      </c>
      <c r="D130" s="10"/>
      <c r="E130" s="36"/>
      <c r="I130" s="27"/>
    </row>
    <row r="131" spans="1:9">
      <c r="A131" s="9" t="s">
        <v>84</v>
      </c>
      <c r="B131" s="9">
        <v>35000</v>
      </c>
      <c r="C131" s="10" t="s">
        <v>17</v>
      </c>
      <c r="D131" s="10"/>
      <c r="E131" s="36"/>
      <c r="I131" s="30"/>
    </row>
    <row r="133" spans="1:9" ht="18">
      <c r="I133" s="28"/>
    </row>
    <row r="134" spans="1:9">
      <c r="I134" s="27"/>
    </row>
    <row r="135" spans="1:9">
      <c r="I135" s="30"/>
    </row>
    <row r="138" spans="1:9">
      <c r="A138" s="71" t="s">
        <v>162</v>
      </c>
      <c r="B138" s="72"/>
      <c r="C138" s="72"/>
      <c r="D138" s="72"/>
      <c r="E138" s="72"/>
    </row>
    <row r="139" spans="1:9">
      <c r="A139" s="71"/>
      <c r="B139" s="72"/>
      <c r="C139" s="72"/>
      <c r="D139" s="72"/>
      <c r="E139" s="72"/>
    </row>
    <row r="140" spans="1:9">
      <c r="A140" s="71"/>
      <c r="B140" s="72"/>
      <c r="C140" s="72"/>
      <c r="D140" s="72"/>
      <c r="E140" s="72"/>
    </row>
    <row r="147" spans="1:11" ht="28.8" customHeight="1">
      <c r="A147" s="34" t="s">
        <v>88</v>
      </c>
      <c r="B147" s="34" t="s">
        <v>152</v>
      </c>
      <c r="C147" s="35" t="s">
        <v>153</v>
      </c>
      <c r="D147" s="35" t="s">
        <v>157</v>
      </c>
      <c r="E147" s="35" t="s">
        <v>151</v>
      </c>
      <c r="I147" s="39" t="s">
        <v>182</v>
      </c>
      <c r="J147" s="39" t="s">
        <v>198</v>
      </c>
      <c r="K147" s="39" t="s">
        <v>199</v>
      </c>
    </row>
    <row r="148" spans="1:11" ht="28.2" customHeight="1">
      <c r="A148" s="9" t="s">
        <v>23</v>
      </c>
      <c r="B148" s="9">
        <v>12000</v>
      </c>
      <c r="C148" s="10"/>
      <c r="D148" s="10"/>
      <c r="E148" s="36"/>
      <c r="I148" s="40" t="s">
        <v>193</v>
      </c>
      <c r="J148" s="40" t="s">
        <v>153</v>
      </c>
      <c r="K148" s="41" t="s">
        <v>190</v>
      </c>
    </row>
    <row r="149" spans="1:11">
      <c r="A149" s="9" t="s">
        <v>15</v>
      </c>
      <c r="B149" s="9">
        <v>18000</v>
      </c>
      <c r="C149" s="10"/>
      <c r="D149" s="10"/>
      <c r="E149" s="36"/>
      <c r="I149" s="40" t="s">
        <v>194</v>
      </c>
      <c r="J149" s="40" t="s">
        <v>157</v>
      </c>
      <c r="K149" s="41" t="s">
        <v>191</v>
      </c>
    </row>
    <row r="150" spans="1:11">
      <c r="A150" s="9" t="s">
        <v>77</v>
      </c>
      <c r="B150" s="9">
        <v>26000</v>
      </c>
      <c r="C150" s="10"/>
      <c r="D150" s="10"/>
      <c r="E150" s="36"/>
      <c r="I150" s="40" t="s">
        <v>201</v>
      </c>
      <c r="J150" s="40" t="s">
        <v>151</v>
      </c>
      <c r="K150" s="41" t="s">
        <v>192</v>
      </c>
    </row>
    <row r="151" spans="1:11">
      <c r="A151" s="9" t="s">
        <v>24</v>
      </c>
      <c r="B151" s="9">
        <v>22000</v>
      </c>
      <c r="C151" s="10"/>
      <c r="D151" s="10"/>
      <c r="E151" s="36"/>
    </row>
    <row r="152" spans="1:11">
      <c r="A152" s="9" t="s">
        <v>14</v>
      </c>
      <c r="B152" s="9">
        <v>14000</v>
      </c>
      <c r="C152" s="10"/>
      <c r="D152" s="10"/>
      <c r="E152" s="36"/>
    </row>
    <row r="153" spans="1:11">
      <c r="A153" s="9" t="s">
        <v>81</v>
      </c>
      <c r="B153" s="9">
        <v>30000</v>
      </c>
      <c r="C153" s="10"/>
      <c r="D153" s="10"/>
      <c r="E153" s="36"/>
      <c r="I153" s="39" t="s">
        <v>152</v>
      </c>
      <c r="J153" s="47" t="s">
        <v>153</v>
      </c>
    </row>
    <row r="154" spans="1:11">
      <c r="A154" s="9" t="s">
        <v>12</v>
      </c>
      <c r="B154" s="9">
        <v>20000</v>
      </c>
      <c r="C154" s="10"/>
      <c r="D154" s="10"/>
      <c r="E154" s="36"/>
      <c r="I154" s="9" t="s">
        <v>154</v>
      </c>
      <c r="J154" s="48">
        <v>0.1</v>
      </c>
    </row>
    <row r="155" spans="1:11">
      <c r="A155" s="9" t="s">
        <v>84</v>
      </c>
      <c r="B155" s="9">
        <v>35000</v>
      </c>
      <c r="C155" s="10"/>
      <c r="D155" s="10"/>
      <c r="E155" s="36"/>
      <c r="I155" s="9" t="s">
        <v>155</v>
      </c>
      <c r="J155" s="48">
        <v>0.12</v>
      </c>
    </row>
    <row r="156" spans="1:11">
      <c r="I156" s="9" t="s">
        <v>156</v>
      </c>
      <c r="J156" s="48">
        <v>0.15</v>
      </c>
    </row>
    <row r="158" spans="1:11">
      <c r="I158" s="27"/>
    </row>
    <row r="159" spans="1:11">
      <c r="I159" s="30"/>
    </row>
    <row r="161" spans="1:9">
      <c r="I161" s="29"/>
    </row>
    <row r="166" spans="1:9">
      <c r="A166" s="71" t="s">
        <v>195</v>
      </c>
      <c r="B166" s="72"/>
      <c r="C166" s="72"/>
      <c r="D166" s="72"/>
      <c r="E166" s="72"/>
    </row>
    <row r="167" spans="1:9">
      <c r="A167" s="71"/>
      <c r="B167" s="72"/>
      <c r="C167" s="72"/>
      <c r="D167" s="72"/>
      <c r="E167" s="72"/>
    </row>
    <row r="168" spans="1:9">
      <c r="A168" s="71"/>
      <c r="B168" s="72"/>
      <c r="C168" s="72"/>
      <c r="D168" s="72"/>
      <c r="E168" s="72"/>
    </row>
    <row r="172" spans="1:9" ht="28.8" customHeight="1">
      <c r="A172" s="34" t="s">
        <v>163</v>
      </c>
      <c r="B172" s="34" t="s">
        <v>164</v>
      </c>
      <c r="C172" s="34" t="s">
        <v>165</v>
      </c>
      <c r="D172" s="34" t="s">
        <v>166</v>
      </c>
      <c r="E172" s="34" t="s">
        <v>167</v>
      </c>
      <c r="F172" s="34" t="s">
        <v>168</v>
      </c>
      <c r="G172" s="34" t="s">
        <v>169</v>
      </c>
      <c r="H172" s="34" t="s">
        <v>170</v>
      </c>
      <c r="I172" s="34" t="s">
        <v>171</v>
      </c>
    </row>
    <row r="173" spans="1:9">
      <c r="A173" s="9" t="s">
        <v>172</v>
      </c>
      <c r="B173" s="9">
        <v>85</v>
      </c>
      <c r="C173" s="10">
        <v>72</v>
      </c>
      <c r="D173" s="10">
        <v>91</v>
      </c>
      <c r="E173" s="36"/>
      <c r="F173" s="9"/>
      <c r="G173" s="9"/>
      <c r="H173" s="10"/>
      <c r="I173" s="10"/>
    </row>
    <row r="174" spans="1:9">
      <c r="A174" s="9" t="s">
        <v>173</v>
      </c>
      <c r="B174" s="9">
        <v>45</v>
      </c>
      <c r="C174" s="10">
        <v>68</v>
      </c>
      <c r="D174" s="10">
        <v>55</v>
      </c>
      <c r="E174" s="36"/>
      <c r="F174" s="9"/>
      <c r="G174" s="9"/>
      <c r="H174" s="10"/>
      <c r="I174" s="10"/>
    </row>
    <row r="175" spans="1:9">
      <c r="A175" s="9" t="s">
        <v>23</v>
      </c>
      <c r="B175" s="9">
        <v>102</v>
      </c>
      <c r="C175" s="10">
        <v>88</v>
      </c>
      <c r="D175" s="10">
        <v>95</v>
      </c>
      <c r="E175" s="36"/>
      <c r="F175" s="9"/>
      <c r="G175" s="9"/>
      <c r="H175" s="10"/>
      <c r="I175" s="10"/>
    </row>
    <row r="176" spans="1:9">
      <c r="A176" s="9" t="s">
        <v>19</v>
      </c>
      <c r="B176" s="9">
        <v>35</v>
      </c>
      <c r="C176" s="10">
        <v>42</v>
      </c>
      <c r="D176" s="10">
        <v>28</v>
      </c>
      <c r="E176" s="36"/>
      <c r="F176" s="9"/>
      <c r="G176" s="9"/>
      <c r="H176" s="10"/>
      <c r="I176" s="10"/>
    </row>
    <row r="177" spans="1:13">
      <c r="A177" s="9" t="s">
        <v>14</v>
      </c>
      <c r="B177" s="9">
        <v>65</v>
      </c>
      <c r="C177" s="10">
        <v>70</v>
      </c>
      <c r="D177" s="10">
        <v>62</v>
      </c>
      <c r="E177" s="36"/>
      <c r="F177" s="9"/>
      <c r="G177" s="9"/>
      <c r="H177" s="10"/>
      <c r="I177" s="10"/>
    </row>
    <row r="178" spans="1:13">
      <c r="A178" s="9" t="s">
        <v>174</v>
      </c>
      <c r="B178" s="9">
        <v>25</v>
      </c>
      <c r="C178" s="10">
        <v>38</v>
      </c>
      <c r="D178" s="10">
        <v>31</v>
      </c>
      <c r="E178" s="36"/>
      <c r="F178" s="9"/>
      <c r="G178" s="9"/>
      <c r="H178" s="10"/>
      <c r="I178" s="10"/>
    </row>
    <row r="179" spans="1:13">
      <c r="A179" s="9" t="s">
        <v>175</v>
      </c>
      <c r="B179" s="9">
        <v>78</v>
      </c>
      <c r="C179" s="10">
        <v>82</v>
      </c>
      <c r="D179" s="10">
        <v>75</v>
      </c>
      <c r="E179" s="36"/>
      <c r="F179" s="9"/>
      <c r="G179" s="9"/>
      <c r="H179" s="10"/>
      <c r="I179" s="10"/>
    </row>
    <row r="180" spans="1:13">
      <c r="A180" s="9" t="s">
        <v>26</v>
      </c>
      <c r="B180" s="9">
        <v>55</v>
      </c>
      <c r="C180" s="10">
        <v>48</v>
      </c>
      <c r="D180" s="10">
        <v>60</v>
      </c>
      <c r="E180" s="36"/>
      <c r="F180" s="9"/>
      <c r="G180" s="9"/>
      <c r="H180" s="10"/>
      <c r="I180" s="10"/>
    </row>
    <row r="182" spans="1:13">
      <c r="L182" s="44"/>
    </row>
    <row r="183" spans="1:13">
      <c r="L183" s="44"/>
    </row>
    <row r="184" spans="1:13">
      <c r="L184" s="44"/>
    </row>
    <row r="185" spans="1:13">
      <c r="L185" s="44"/>
    </row>
    <row r="186" spans="1:13">
      <c r="A186" s="42" t="s">
        <v>182</v>
      </c>
      <c r="B186" s="75" t="s">
        <v>183</v>
      </c>
      <c r="C186" s="75"/>
      <c r="D186" s="75"/>
      <c r="E186" s="75"/>
      <c r="G186" s="42" t="s">
        <v>168</v>
      </c>
      <c r="H186" s="42" t="s">
        <v>169</v>
      </c>
      <c r="I186" s="42" t="s">
        <v>170</v>
      </c>
      <c r="L186" s="44"/>
    </row>
    <row r="187" spans="1:13">
      <c r="A187" s="43">
        <v>1</v>
      </c>
      <c r="B187" s="75" t="s">
        <v>184</v>
      </c>
      <c r="C187" s="75"/>
      <c r="D187" s="75"/>
      <c r="E187" s="75"/>
      <c r="G187" s="43" t="s">
        <v>189</v>
      </c>
      <c r="H187" s="43" t="s">
        <v>176</v>
      </c>
      <c r="I187" s="45">
        <v>50</v>
      </c>
      <c r="L187" s="44"/>
    </row>
    <row r="188" spans="1:13">
      <c r="A188" s="43">
        <v>2</v>
      </c>
      <c r="B188" s="75" t="s">
        <v>185</v>
      </c>
      <c r="C188" s="75"/>
      <c r="D188" s="75"/>
      <c r="E188" s="75"/>
      <c r="G188" s="43" t="s">
        <v>177</v>
      </c>
      <c r="H188" s="43" t="s">
        <v>178</v>
      </c>
      <c r="I188" s="45">
        <v>30</v>
      </c>
    </row>
    <row r="189" spans="1:13">
      <c r="A189" s="43">
        <v>3</v>
      </c>
      <c r="B189" s="75" t="s">
        <v>186</v>
      </c>
      <c r="C189" s="75"/>
      <c r="D189" s="75"/>
      <c r="E189" s="75"/>
      <c r="G189" s="43" t="s">
        <v>179</v>
      </c>
      <c r="H189" s="43" t="s">
        <v>73</v>
      </c>
      <c r="I189" s="45">
        <v>10</v>
      </c>
    </row>
    <row r="190" spans="1:13" ht="18">
      <c r="A190" s="43">
        <v>4</v>
      </c>
      <c r="B190" s="75" t="s">
        <v>187</v>
      </c>
      <c r="C190" s="75"/>
      <c r="D190" s="75"/>
      <c r="E190" s="75"/>
      <c r="G190" s="43" t="s">
        <v>180</v>
      </c>
      <c r="H190" s="43" t="s">
        <v>181</v>
      </c>
      <c r="I190" s="45">
        <v>0</v>
      </c>
      <c r="M190" s="28"/>
    </row>
    <row r="191" spans="1:13">
      <c r="A191" s="43">
        <v>5</v>
      </c>
      <c r="B191" s="75" t="s">
        <v>188</v>
      </c>
      <c r="C191" s="75"/>
      <c r="D191" s="75"/>
      <c r="E191" s="75"/>
      <c r="G191" s="46"/>
      <c r="H191" s="46"/>
      <c r="I191" s="46"/>
    </row>
    <row r="194" spans="13:14">
      <c r="M194" s="25"/>
      <c r="N194" s="25"/>
    </row>
    <row r="195" spans="13:14">
      <c r="M195" s="26"/>
      <c r="N195" s="26"/>
    </row>
    <row r="196" spans="13:14">
      <c r="M196" s="26"/>
      <c r="N196" s="26"/>
    </row>
    <row r="197" spans="13:14">
      <c r="M197" s="26"/>
      <c r="N197" s="26"/>
    </row>
    <row r="198" spans="13:14">
      <c r="M198" s="26"/>
      <c r="N198" s="26"/>
    </row>
    <row r="201" spans="13:14">
      <c r="M201" s="27"/>
    </row>
    <row r="202" spans="13:14">
      <c r="M202" s="30"/>
    </row>
    <row r="206" spans="13:14" ht="18">
      <c r="M206" s="28"/>
    </row>
    <row r="209" spans="13:13">
      <c r="M209" s="31"/>
    </row>
    <row r="210" spans="13:13">
      <c r="M210" s="31"/>
    </row>
    <row r="211" spans="13:13">
      <c r="M211" s="31"/>
    </row>
    <row r="212" spans="13:13">
      <c r="M212" s="31"/>
    </row>
    <row r="213" spans="13:13">
      <c r="M213" s="31"/>
    </row>
    <row r="214" spans="13:13">
      <c r="M214" s="27"/>
    </row>
    <row r="215" spans="13:13">
      <c r="M215" s="30"/>
    </row>
    <row r="219" spans="13:13" ht="18">
      <c r="M219" s="28"/>
    </row>
    <row r="222" spans="13:13">
      <c r="M222" s="27"/>
    </row>
    <row r="223" spans="13:13">
      <c r="M223" s="30"/>
    </row>
  </sheetData>
  <mergeCells count="30">
    <mergeCell ref="B188:E188"/>
    <mergeCell ref="B189:E189"/>
    <mergeCell ref="B190:E190"/>
    <mergeCell ref="B191:E191"/>
    <mergeCell ref="P102:S102"/>
    <mergeCell ref="P103:S103"/>
    <mergeCell ref="P104:S104"/>
    <mergeCell ref="P105:S105"/>
    <mergeCell ref="P106:S106"/>
    <mergeCell ref="B186:E186"/>
    <mergeCell ref="B187:E187"/>
    <mergeCell ref="J102:K102"/>
    <mergeCell ref="J124:K124"/>
    <mergeCell ref="J125:K125"/>
    <mergeCell ref="J126:K126"/>
    <mergeCell ref="J123:K123"/>
    <mergeCell ref="A114:E116"/>
    <mergeCell ref="A138:E140"/>
    <mergeCell ref="A166:E168"/>
    <mergeCell ref="A120:E121"/>
    <mergeCell ref="A45:E46"/>
    <mergeCell ref="A58:E60"/>
    <mergeCell ref="A63:E64"/>
    <mergeCell ref="A78:E80"/>
    <mergeCell ref="A98:E100"/>
    <mergeCell ref="A8:C9"/>
    <mergeCell ref="A3:E5"/>
    <mergeCell ref="A24:E26"/>
    <mergeCell ref="A29:E30"/>
    <mergeCell ref="A41:E4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Logic and IF</vt:lpstr>
      <vt:lpstr>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A</dc:creator>
  <cp:lastModifiedBy>Thirumal G</cp:lastModifiedBy>
  <dcterms:created xsi:type="dcterms:W3CDTF">2020-11-19T06:17:10Z</dcterms:created>
  <dcterms:modified xsi:type="dcterms:W3CDTF">2026-09-29T06:30:55Z</dcterms:modified>
</cp:coreProperties>
</file>